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kcija" sheetId="1" state="visible" r:id="rId1"/>
    <sheet xmlns:r="http://schemas.openxmlformats.org/officeDocument/2006/relationships" name="Etalons" sheetId="2" state="visible" r:id="rId2"/>
    <sheet xmlns:r="http://schemas.openxmlformats.org/officeDocument/2006/relationships" name="Lapas" sheetId="3" state="visible" r:id="rId3"/>
    <sheet xmlns:r="http://schemas.openxmlformats.org/officeDocument/2006/relationships" name="_meta" sheetId="4" state="hidden" r:id="rId4"/>
  </sheets>
  <definedNames>
    <definedName name="_xlnm._FilterDatabase" localSheetId="1" hidden="1">'Etalons'!$A$1:$G$337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3">
    <fill>
      <patternFill/>
    </fill>
    <fill>
      <patternFill patternType="gray125"/>
    </fill>
    <fill>
      <patternFill patternType="solid">
        <fgColor rgb="0017365D"/>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1" fillId="2" borderId="0" applyAlignment="1" pivotButton="0" quotePrefix="0" xfId="0">
      <alignment vertical="center" wrapText="1"/>
    </xf>
    <xf numFmtId="0" fontId="2" fillId="0" borderId="0" pivotButton="0" quotePrefix="0" xfId="0"/>
  </cellXfs>
  <cellStyles count="1">
    <cellStyle name="Normal" xfId="0" builtinId="0" hidden="0"/>
  </cellStyles>
  <dxfs count="3">
    <dxf>
      <fill>
        <patternFill patternType="solid">
          <fgColor rgb="00D9EAD3"/>
        </patternFill>
      </fill>
    </dxf>
    <dxf>
      <fill>
        <patternFill patternType="solid">
          <fgColor rgb="00F4CCCC"/>
        </patternFill>
      </fill>
    </dxf>
    <dxf>
      <fill>
        <patternFill patternType="solid">
          <fgColor rgb="00FFF2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16" customWidth="1" min="1" max="1"/>
    <col width="120" customWidth="1" min="2" max="2"/>
  </cols>
  <sheetData>
    <row r="1">
      <c r="A1" s="1" t="inlineStr">
        <is>
          <t>Tēma</t>
        </is>
      </c>
      <c r="B1" s="1" t="inlineStr">
        <is>
          <t>Apraksts</t>
        </is>
      </c>
    </row>
    <row r="2">
      <c r="A2" s="2" t="inlineStr">
        <is>
          <t>Mērķis</t>
        </is>
      </c>
      <c r="B2" s="2" t="inlineStr">
        <is>
          <t>Atzīmē KATRU rindu šajās lapās: vai tā ir nodošanas / closeout prasība? Tad `spectakeoff eval` izmērīs, ko programma atrod pareizi, ko kļūdaini un ko palaiž garām.</t>
        </is>
      </c>
    </row>
    <row r="3">
      <c r="A3" s="2" t="inlineStr">
        <is>
          <t>Kā aizpildīt</t>
        </is>
      </c>
      <c r="B3" s="2" t="inlineStr">
        <is>
          <t>Kolonnā F izvēlies Jā vai Nē (vai ? ja tiešām nav skaidrs - tādas rindas netiek vērtētas). Atver PDF norādītajā lapā, ja teksts nav saprotams bez konteksta.</t>
        </is>
      </c>
    </row>
    <row r="4">
      <c r="A4" s="2" t="inlineStr">
        <is>
          <t>Jā</t>
        </is>
      </c>
      <c r="B4" s="2" t="inlineStr">
        <is>
          <t>Teikums vai saraksta punkts uzliek darbuzņēmējam pienākumu NODOT vai IESNIEGT kaut ko nodošanai/closeout: garantija, O&amp;M rokasgrāmatas, izpilddokumentācija (as-built / record drawings), rezerves daļas, papildu materiāli (attic stock), speciālie instrumenti, apmācība, testu atskaites, sertifikāti un atbilstības apliecinājumi, iesniegumu saraksta punkti (piem. UFGS SD-06/07/09/10/11).</t>
        </is>
      </c>
    </row>
    <row r="5">
      <c r="A5" s="2" t="inlineStr">
        <is>
          <t>Nē</t>
        </is>
      </c>
      <c r="B5" s="2" t="inlineStr">
        <is>
          <t>Būvdarbu metodes, materiālu īpašības, juridiski skaidrojumi ('shall not relieve...'), redaktora piezīmes (NOTE:, 'The Engineer shall...'), virsraksti, lapu galvenes, atsauces uz citām sadaļām, uzstādīšana 'saskaņā ar ražotāja instrukcijām'.</t>
        </is>
      </c>
    </row>
    <row r="6">
      <c r="A6" s="2" t="inlineStr">
        <is>
          <t>Piemērs Jā</t>
        </is>
      </c>
      <c r="B6" s="2" t="inlineStr">
        <is>
          <t>Provide two (2) copies of all manufacturers warranties specified for materials.</t>
        </is>
      </c>
    </row>
    <row r="7">
      <c r="A7" s="2" t="inlineStr">
        <is>
          <t>Piemērs Jā</t>
        </is>
      </c>
      <c r="B7" s="2" t="inlineStr">
        <is>
          <t>Operation and Maintenance Manuals; G, [_____]   (punkts zem SD-10)</t>
        </is>
      </c>
    </row>
    <row r="8">
      <c r="A8" s="2" t="inlineStr">
        <is>
          <t>Piemērs Nē</t>
        </is>
      </c>
      <c r="B8" s="2" t="inlineStr">
        <is>
          <t>Air-entraining admixtures shall meet the requirements of ASTM C260.</t>
        </is>
      </c>
    </row>
    <row r="9">
      <c r="A9" s="2" t="inlineStr">
        <is>
          <t>Piemērs Nē</t>
        </is>
      </c>
      <c r="B9" s="2" t="inlineStr">
        <is>
          <t>Manufacturer's certifications shall not relieve the Contractor of the responsibility...</t>
        </is>
      </c>
    </row>
    <row r="10">
      <c r="A10" s="2" t="inlineStr">
        <is>
          <t>Svarīgi</t>
        </is>
      </c>
      <c r="B10" s="2" t="inlineStr">
        <is>
          <t>Neskaties, ko atrada programma, pirms neesi atzīmējis pats - citādi mērījums būs neobjektīvs. Ja failā ir kolonna 'Programma atrada', to var paslēpt.</t>
        </is>
      </c>
    </row>
    <row r="11">
      <c r="A11" s="2" t="inlineStr">
        <is>
          <t>Pēc tam</t>
        </is>
      </c>
      <c r="B11" s="2" t="inlineStr">
        <is>
          <t>Saglabā failu un palaid:  spectakeoff eval etalons.xlsx   (programma pati atkārtoti apstrādās tos pašus PDF un salīdzinās). Lapas, kur kaut viena rinda nav atzīmēta, netiek vērtētas.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37"/>
  <sheetViews>
    <sheetView workbookViewId="0">
      <pane xSplit="5" ySplit="1" topLeftCell="F2"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22" customWidth="1" min="2" max="2"/>
    <col width="7" customWidth="1" min="3" max="3"/>
    <col width="8" customWidth="1" min="4" max="4"/>
    <col width="90" customWidth="1" min="5" max="5"/>
    <col width="16" customWidth="1" min="6" max="6"/>
    <col width="30" customWidth="1" min="7" max="7"/>
    <col width="14" customWidth="1" min="8" max="8"/>
  </cols>
  <sheetData>
    <row r="1">
      <c r="A1" s="3" t="inlineStr">
        <is>
          <t>ID</t>
        </is>
      </c>
      <c r="B1" s="3" t="inlineStr">
        <is>
          <t>Fails</t>
        </is>
      </c>
      <c r="C1" s="3" t="inlineStr">
        <is>
          <t>Lapa</t>
        </is>
      </c>
      <c r="D1" s="3" t="inlineStr">
        <is>
          <t>Nr. lapā</t>
        </is>
      </c>
      <c r="E1" s="3" t="inlineStr">
        <is>
          <t>Teksts (oriģināls)</t>
        </is>
      </c>
      <c r="F1" s="3" t="inlineStr">
        <is>
          <t>Prasība? (Jā/Nē)</t>
        </is>
      </c>
      <c r="G1" s="3" t="inlineStr">
        <is>
          <t>Piezīme</t>
        </is>
      </c>
    </row>
    <row r="2">
      <c r="A2" s="2" t="inlineStr">
        <is>
          <t>150-5370-10H-P0059-001</t>
        </is>
      </c>
      <c r="B2" s="2" t="inlineStr">
        <is>
          <t>150-5370-10H.pdf</t>
        </is>
      </c>
      <c r="C2" s="2" t="n">
        <v>59</v>
      </c>
      <c r="D2" s="2" t="n">
        <v>1</v>
      </c>
      <c r="E2" s="2" t="inlineStr">
        <is>
          <t>12/21/2018 AC 150/5370-10H</t>
        </is>
      </c>
      <c r="F2" s="2" t="inlineStr">
        <is>
          <t>Nē</t>
        </is>
      </c>
      <c r="G2" s="2" t="n"/>
    </row>
    <row r="3">
      <c r="A3" s="2" t="inlineStr">
        <is>
          <t>150-5370-10H-P0059-002</t>
        </is>
      </c>
      <c r="B3" s="2" t="inlineStr">
        <is>
          <t>150-5370-10H.pdf</t>
        </is>
      </c>
      <c r="C3" s="2" t="n">
        <v>59</v>
      </c>
      <c r="D3" s="2" t="n">
        <v>2</v>
      </c>
      <c r="E3" s="2" t="inlineStr">
        <is>
          <t>covered by a change order or supplemental agreement.</t>
        </is>
      </c>
      <c r="F3" s="2" t="inlineStr">
        <is>
          <t>Nē</t>
        </is>
      </c>
      <c r="G3" s="2" t="n"/>
    </row>
    <row r="4">
      <c r="A4" s="2" t="inlineStr">
        <is>
          <t>150-5370-10H-P0059-003</t>
        </is>
      </c>
      <c r="B4" s="2" t="inlineStr">
        <is>
          <t>150-5370-10H.pdf</t>
        </is>
      </c>
      <c r="C4" s="2" t="n">
        <v>59</v>
      </c>
      <c r="D4" s="2" t="n">
        <v>3</v>
      </c>
      <c r="E4" s="2" t="inlineStr">
        <is>
          <t>Charges against the contract time will cease as of the date of final acceptance. ]</t>
        </is>
      </c>
      <c r="F4" s="2" t="inlineStr">
        <is>
          <t>Nē</t>
        </is>
      </c>
      <c r="G4" s="2" t="n"/>
    </row>
    <row r="5">
      <c r="A5" s="2" t="inlineStr">
        <is>
          <t>150-5370-10H-P0059-004</t>
        </is>
      </c>
      <c r="B5" s="2" t="inlineStr">
        <is>
          <t>150-5370-10H.pdf</t>
        </is>
      </c>
      <c r="C5" s="2" t="n">
        <v>59</v>
      </c>
      <c r="D5" s="2" t="n">
        <v>4</v>
      </c>
      <c r="E5" s="2" t="inlineStr">
        <is>
          <t>[ Contract time based on specific completion date.</t>
        </is>
      </c>
      <c r="F5" s="2" t="inlineStr">
        <is>
          <t>Nē</t>
        </is>
      </c>
      <c r="G5" s="2" t="n"/>
    </row>
    <row r="6">
      <c r="A6" s="2" t="inlineStr">
        <is>
          <t>150-5370-10H-P0059-005</t>
        </is>
      </c>
      <c r="B6" s="2" t="inlineStr">
        <is>
          <t>150-5370-10H.pdf</t>
        </is>
      </c>
      <c r="C6" s="2" t="n">
        <v>59</v>
      </c>
      <c r="D6" s="2" t="n">
        <v>5</v>
      </c>
      <c r="E6" s="2" t="inlineStr">
        <is>
          <t>When the contract time is a specified completion date, it shall be the date on which all contract work shall be substantially complete.</t>
        </is>
      </c>
      <c r="F6" s="2" t="inlineStr">
        <is>
          <t>Nē</t>
        </is>
      </c>
      <c r="G6" s="2" t="n"/>
    </row>
    <row r="7">
      <c r="A7" s="2" t="inlineStr">
        <is>
          <t>150-5370-10H-P0059-006</t>
        </is>
      </c>
      <c r="B7" s="2" t="inlineStr">
        <is>
          <t>150-5370-10H.pdf</t>
        </is>
      </c>
      <c r="C7" s="2" t="n">
        <v>59</v>
      </c>
      <c r="D7" s="2" t="n">
        <v>6</v>
      </c>
      <c r="E7" s="2" t="inlineStr">
        <is>
          <t>If the Contractor finds it impossible for reasons beyond their own control to complete the work within the contract time as specified, or as extended in accordance with the provisions of this paragraph, the Contractor may, at any time prior to the expiration of the contract time as extended, make a written request to the Owner for an extension of time setting forth the reasons which the Contractor believes will justify the granting of their own request.</t>
        </is>
      </c>
      <c r="F7" s="2" t="inlineStr">
        <is>
          <t>Nē</t>
        </is>
      </c>
      <c r="G7" s="2" t="n"/>
    </row>
    <row r="8">
      <c r="A8" s="2" t="inlineStr">
        <is>
          <t>150-5370-10H-P0059-007</t>
        </is>
      </c>
      <c r="B8" s="2" t="inlineStr">
        <is>
          <t>150-5370-10H.pdf</t>
        </is>
      </c>
      <c r="C8" s="2" t="n">
        <v>59</v>
      </c>
      <c r="D8" s="2" t="n">
        <v>7</v>
      </c>
      <c r="E8" s="2" t="inlineStr">
        <is>
          <t>Requests for extension of time, caused by inclement weather, shall be supported with National Weather Bureau data showing the actual amount of inclement weather exceeded what could normally be expected during the contract period.</t>
        </is>
      </c>
      <c r="F8" s="2" t="inlineStr">
        <is>
          <t>Nē</t>
        </is>
      </c>
      <c r="G8" s="2" t="n"/>
    </row>
    <row r="9">
      <c r="A9" s="2" t="inlineStr">
        <is>
          <t>150-5370-10H-P0059-008</t>
        </is>
      </c>
      <c r="B9" s="2" t="inlineStr">
        <is>
          <t>150-5370-10H.pdf</t>
        </is>
      </c>
      <c r="C9" s="2" t="n">
        <v>59</v>
      </c>
      <c r="D9" s="2" t="n">
        <v>8</v>
      </c>
      <c r="E9" s="2" t="inlineStr">
        <is>
          <t>The Contractor’s plea that insufficient time was specified is not a valid reason for extension of time.</t>
        </is>
      </c>
      <c r="F9" s="2" t="inlineStr">
        <is>
          <t>Nē</t>
        </is>
      </c>
      <c r="G9" s="2" t="n"/>
    </row>
    <row r="10">
      <c r="A10" s="2" t="inlineStr">
        <is>
          <t>150-5370-10H-P0059-009</t>
        </is>
      </c>
      <c r="B10" s="2" t="inlineStr">
        <is>
          <t>150-5370-10H.pdf</t>
        </is>
      </c>
      <c r="C10" s="2" t="n">
        <v>59</v>
      </c>
      <c r="D10" s="2" t="n">
        <v>9</v>
      </c>
      <c r="E10" s="2" t="inlineStr">
        <is>
          <t>If the supporting documentation justify the work was delayed because of conditions beyond the control and without the fault of the Contractor, the Owner may extend the time for completion by a change order that adjusts the contract time or completion date.</t>
        </is>
      </c>
      <c r="F10" s="2" t="inlineStr">
        <is>
          <t>Nē</t>
        </is>
      </c>
      <c r="G10" s="2" t="n"/>
    </row>
    <row r="11">
      <c r="A11" s="2" t="inlineStr">
        <is>
          <t>150-5370-10H-P0059-010</t>
        </is>
      </c>
      <c r="B11" s="2" t="inlineStr">
        <is>
          <t>150-5370-10H.pdf</t>
        </is>
      </c>
      <c r="C11" s="2" t="n">
        <v>59</v>
      </c>
      <c r="D11" s="2" t="n">
        <v>10</v>
      </c>
      <c r="E11" s="2" t="inlineStr">
        <is>
          <t>The extended time for completion shall then be in full force and effect, the same as though it were the original time for completion. ]</t>
        </is>
      </c>
      <c r="F11" s="2" t="inlineStr">
        <is>
          <t>Nē</t>
        </is>
      </c>
      <c r="G11" s="2" t="n"/>
    </row>
    <row r="12">
      <c r="A12" s="2" t="inlineStr">
        <is>
          <t>150-5370-10H-P0059-011</t>
        </is>
      </c>
      <c r="B12" s="2" t="inlineStr">
        <is>
          <t>150-5370-10H.pdf</t>
        </is>
      </c>
      <c r="C12" s="2" t="n">
        <v>59</v>
      </c>
      <c r="D12" s="2" t="n">
        <v>11</v>
      </c>
      <c r="E12" s="2" t="inlineStr">
        <is>
          <t>Select the appropriate method identifying contract time for the contract.</t>
        </is>
      </c>
      <c r="F12" s="2" t="inlineStr">
        <is>
          <t>Nē</t>
        </is>
      </c>
      <c r="G12" s="2" t="n"/>
    </row>
    <row r="13">
      <c r="A13" s="2" t="inlineStr">
        <is>
          <t>150-5370-10H-P0059-012</t>
        </is>
      </c>
      <c r="B13" s="2" t="inlineStr">
        <is>
          <t>150-5370-10H.pdf</t>
        </is>
      </c>
      <c r="C13" s="2" t="n">
        <v>59</v>
      </c>
      <c r="D13" s="2" t="n">
        <v>12</v>
      </c>
      <c r="E13" s="2" t="inlineStr">
        <is>
          <t>80-08 Failure to complete on time.</t>
        </is>
      </c>
      <c r="F13" s="2" t="inlineStr">
        <is>
          <t>Nē</t>
        </is>
      </c>
      <c r="G13" s="2" t="n"/>
    </row>
    <row r="14">
      <c r="A14" s="2" t="inlineStr">
        <is>
          <t>150-5370-10H-P0059-013</t>
        </is>
      </c>
      <c r="B14" s="2" t="inlineStr">
        <is>
          <t>150-5370-10H.pdf</t>
        </is>
      </c>
      <c r="C14" s="2" t="n">
        <v>59</v>
      </c>
      <c r="D14" s="2" t="n">
        <v>13</v>
      </c>
      <c r="E14" s="2" t="inlineStr">
        <is>
          <t>For each calendar day or working day, as specified in the contract, that any work remains uncompleted after the contract time (including all extensions and adjustments as provided in paragraph 80-07, Determination and Extension of Contract Time) the sum specified in the contract and proposal as liquidated damages (LD) will be deducted from any money due or to become due the Contractor or their own surety.</t>
        </is>
      </c>
      <c r="F14" s="2" t="inlineStr">
        <is>
          <t>Nē</t>
        </is>
      </c>
      <c r="G14" s="2" t="n"/>
    </row>
    <row r="15">
      <c r="A15" s="2" t="inlineStr">
        <is>
          <t>150-5370-10H-P0059-014</t>
        </is>
      </c>
      <c r="B15" s="2" t="inlineStr">
        <is>
          <t>150-5370-10H.pdf</t>
        </is>
      </c>
      <c r="C15" s="2" t="n">
        <v>59</v>
      </c>
      <c r="D15" s="2" t="n">
        <v>14</v>
      </c>
      <c r="E15" s="2" t="inlineStr">
        <is>
          <t>Such deducted sums shall not be deducted as a penalty but shall be considered as liquidation of a reasonable portion of damages including but not limited to additional engineering services that will be incurred by the Owner should the Contractor fail to complete the work in the time provided in their contract.</t>
        </is>
      </c>
      <c r="F15" s="2" t="inlineStr">
        <is>
          <t>Nē</t>
        </is>
      </c>
      <c r="G15" s="2" t="n"/>
    </row>
    <row r="16">
      <c r="A16" s="2" t="inlineStr">
        <is>
          <t>150-5370-10H-P0059-015</t>
        </is>
      </c>
      <c r="B16" s="2" t="inlineStr">
        <is>
          <t>150-5370-10H.pdf</t>
        </is>
      </c>
      <c r="C16" s="2" t="n">
        <v>59</v>
      </c>
      <c r="D16" s="2" t="n">
        <v>15</v>
      </c>
      <c r="E16" s="2" t="inlineStr">
        <is>
          <t>Schedule Liquidated Damages Cost Allowed Construction Time</t>
        </is>
      </c>
      <c r="F16" s="2" t="inlineStr">
        <is>
          <t>Nē</t>
        </is>
      </c>
      <c r="G16" s="2" t="n"/>
    </row>
    <row r="17">
      <c r="A17" s="2" t="inlineStr">
        <is>
          <t>150-5370-10H-P0059-016</t>
        </is>
      </c>
      <c r="B17" s="2" t="inlineStr">
        <is>
          <t>150-5370-10H.pdf</t>
        </is>
      </c>
      <c r="C17" s="2" t="n">
        <v>59</v>
      </c>
      <c r="D17" s="2" t="n">
        <v>16</v>
      </c>
      <c r="E17" s="2" t="inlineStr">
        <is>
          <t>The Engineer should list the liquidated damages cost and allowed construction time in the proposal form or other appropriate contract document to clarify when more than one schedule of work is bid, or in the event all schedules bid cannot be</t>
        </is>
      </c>
      <c r="F17" s="2" t="inlineStr">
        <is>
          <t>Nē</t>
        </is>
      </c>
      <c r="G17" s="2" t="n"/>
    </row>
    <row r="18">
      <c r="A18" s="2" t="inlineStr">
        <is>
          <t>150-5370-10H-P0059-017</t>
        </is>
      </c>
      <c r="B18" s="2" t="inlineStr">
        <is>
          <t>150-5370-10H.pdf</t>
        </is>
      </c>
      <c r="C18" s="2" t="n">
        <v>59</v>
      </c>
      <c r="D18" s="2" t="n">
        <v>17</v>
      </c>
      <c r="E18" s="2" t="inlineStr">
        <is>
          <t>Section 80 Execution and Progress 51</t>
        </is>
      </c>
      <c r="F18" s="2" t="inlineStr">
        <is>
          <t>Nē</t>
        </is>
      </c>
      <c r="G18" s="2" t="n"/>
    </row>
    <row r="19">
      <c r="A19" s="2" t="inlineStr">
        <is>
          <t>150-5370-10H-P0114-001</t>
        </is>
      </c>
      <c r="B19" s="2" t="inlineStr">
        <is>
          <t>150-5370-10H.pdf</t>
        </is>
      </c>
      <c r="C19" s="2" t="n">
        <v>114</v>
      </c>
      <c r="D19" s="2" t="n">
        <v>1</v>
      </c>
      <c r="E19" s="2" t="inlineStr">
        <is>
          <t>12/21/2018 AC 150/5370-10H</t>
        </is>
      </c>
      <c r="F19" s="2" t="inlineStr">
        <is>
          <t>Nē</t>
        </is>
      </c>
      <c r="G19" s="2" t="n"/>
    </row>
    <row r="20">
      <c r="A20" s="2" t="inlineStr">
        <is>
          <t>150-5370-10H-P0114-002</t>
        </is>
      </c>
      <c r="B20" s="2" t="inlineStr">
        <is>
          <t>150-5370-10H.pdf</t>
        </is>
      </c>
      <c r="C20" s="2" t="n">
        <v>114</v>
      </c>
      <c r="D20" s="2" t="n">
        <v>2</v>
      </c>
      <c r="E20" s="2" t="inlineStr">
        <is>
          <t>Paper copies of design cross sections and a paper copy of the original topographic map will be issued to the successful bidder. ]</t>
        </is>
      </c>
      <c r="F20" s="2" t="inlineStr">
        <is>
          <t>Nē</t>
        </is>
      </c>
      <c r="G20" s="2" t="n"/>
    </row>
    <row r="21">
      <c r="A21" s="2" t="inlineStr">
        <is>
          <t>150-5370-10H-P0114-003</t>
        </is>
      </c>
      <c r="B21" s="2" t="inlineStr">
        <is>
          <t>150-5370-10H.pdf</t>
        </is>
      </c>
      <c r="C21" s="2" t="n">
        <v>114</v>
      </c>
      <c r="D21" s="2" t="n">
        <v>3</v>
      </c>
      <c r="E21" s="2" t="inlineStr">
        <is>
          <t>Existing grades on the design cross sections or DTM’s, where they do not match the locations of actual spot elevations shown on the topographic map, were developed by computer interpolation from those spot elevations.</t>
        </is>
      </c>
      <c r="F21" s="2" t="inlineStr">
        <is>
          <t>Nē</t>
        </is>
      </c>
      <c r="G21" s="2" t="n"/>
    </row>
    <row r="22">
      <c r="A22" s="2" t="inlineStr">
        <is>
          <t>150-5370-10H-P0114-004</t>
        </is>
      </c>
      <c r="B22" s="2" t="inlineStr">
        <is>
          <t>150-5370-10H.pdf</t>
        </is>
      </c>
      <c r="C22" s="2" t="n">
        <v>114</v>
      </c>
      <c r="D22" s="2" t="n">
        <v>4</v>
      </c>
      <c r="E22" s="2" t="inlineStr">
        <is>
          <t>Prior to disturbing original grade, Contractor shall verify the accuracy of the existing ground surface by verifying spot elevations at the same locations where original field survey data was obtained as indicated on the topographic map.</t>
        </is>
      </c>
      <c r="F22" s="2" t="inlineStr">
        <is>
          <t>Nē</t>
        </is>
      </c>
      <c r="G22" s="2" t="n"/>
    </row>
    <row r="23">
      <c r="A23" s="2" t="inlineStr">
        <is>
          <t>150-5370-10H-P0114-005</t>
        </is>
      </c>
      <c r="B23" s="2" t="inlineStr">
        <is>
          <t>150-5370-10H.pdf</t>
        </is>
      </c>
      <c r="C23" s="2" t="n">
        <v>114</v>
      </c>
      <c r="D23" s="2" t="n">
        <v>5</v>
      </c>
      <c r="E23" s="2" t="inlineStr">
        <is>
          <t>Contractor shall recognize that, due to the interpolation process, the actual ground surface at any particular location may differ somewhat from the interpolated surface shown on the design cross sections or obtained from the DTM’s.</t>
        </is>
      </c>
      <c r="F23" s="2" t="inlineStr">
        <is>
          <t>Nē</t>
        </is>
      </c>
      <c r="G23" s="2" t="n"/>
    </row>
    <row r="24">
      <c r="A24" s="2" t="inlineStr">
        <is>
          <t>150-5370-10H-P0114-006</t>
        </is>
      </c>
      <c r="B24" s="2" t="inlineStr">
        <is>
          <t>150-5370-10H.pdf</t>
        </is>
      </c>
      <c r="C24" s="2" t="n">
        <v>114</v>
      </c>
      <c r="D24" s="2" t="n">
        <v>6</v>
      </c>
      <c r="E24" s="2" t="inlineStr">
        <is>
          <t>Contractor's verification of original ground surface, however, shall be limited to verification of spot elevations as indicated herein, and no adjustments will be made to the original ground surface unless the Contractor demonstrates that spot elevations shown are incorrect.</t>
        </is>
      </c>
      <c r="F24" s="2" t="inlineStr">
        <is>
          <t>Nē</t>
        </is>
      </c>
      <c r="G24" s="2" t="n"/>
    </row>
    <row r="25">
      <c r="A25" s="2" t="inlineStr">
        <is>
          <t>150-5370-10H-P0114-007</t>
        </is>
      </c>
      <c r="B25" s="2" t="inlineStr">
        <is>
          <t>150-5370-10H.pdf</t>
        </is>
      </c>
      <c r="C25" s="2" t="n">
        <v>114</v>
      </c>
      <c r="D25" s="2" t="n">
        <v>7</v>
      </c>
      <c r="E25" s="2" t="inlineStr">
        <is>
          <t>For this purpose, spot elevations which are within [ 0.1 foot (30 mm) ] of the stated elevations for ground surfaces, or within [ 0.04 foot (12 mm) ] for hard surfaces (pavements, buildings, foundations, structures, etc.) shall be considered “no change”.</t>
        </is>
      </c>
      <c r="F25" s="2" t="inlineStr">
        <is>
          <t>Nē</t>
        </is>
      </c>
      <c r="G25" s="2" t="n"/>
    </row>
    <row r="26">
      <c r="A26" s="2" t="inlineStr">
        <is>
          <t>150-5370-10H-P0114-008</t>
        </is>
      </c>
      <c r="B26" s="2" t="inlineStr">
        <is>
          <t>150-5370-10H.pdf</t>
        </is>
      </c>
      <c r="C26" s="2" t="n">
        <v>114</v>
      </c>
      <c r="D26" s="2" t="n">
        <v>8</v>
      </c>
      <c r="E26" s="2" t="inlineStr">
        <is>
          <t>Only deviations in excess of these will be considered for adjustment of the original ground surface.</t>
        </is>
      </c>
      <c r="F26" s="2" t="inlineStr">
        <is>
          <t>Nē</t>
        </is>
      </c>
      <c r="G26" s="2" t="n"/>
    </row>
    <row r="27">
      <c r="A27" s="2" t="inlineStr">
        <is>
          <t>150-5370-10H-P0114-009</t>
        </is>
      </c>
      <c r="B27" s="2" t="inlineStr">
        <is>
          <t>150-5370-10H.pdf</t>
        </is>
      </c>
      <c r="C27" s="2" t="n">
        <v>114</v>
      </c>
      <c r="D27" s="2" t="n">
        <v>9</v>
      </c>
      <c r="E27" s="2" t="inlineStr">
        <is>
          <t>If Contractor's verification identifies discrepancies in the topographic map, Contractor shall notify the RPR in writing at least [ two weeks ] before disturbance of existing grade to allow sufficient time to verify the submitted information and make adjustments to the design cross sections or DTM’s.</t>
        </is>
      </c>
      <c r="F27" s="2" t="inlineStr">
        <is>
          <t>Nē</t>
        </is>
      </c>
      <c r="G27" s="2" t="n"/>
    </row>
    <row r="28">
      <c r="A28" s="2" t="inlineStr">
        <is>
          <t>150-5370-10H-P0114-010</t>
        </is>
      </c>
      <c r="B28" s="2" t="inlineStr">
        <is>
          <t>150-5370-10H.pdf</t>
        </is>
      </c>
      <c r="C28" s="2" t="n">
        <v>114</v>
      </c>
      <c r="D28" s="2" t="n">
        <v>10</v>
      </c>
      <c r="E28" s="2" t="inlineStr">
        <is>
          <t>Disturbance of existing grade in any area shall constitute acceptance by the Contractor of the accuracy of the original elevations shown on the topographic map for that area. ]</t>
        </is>
      </c>
      <c r="F28" s="2" t="inlineStr">
        <is>
          <t>Nē</t>
        </is>
      </c>
      <c r="G28" s="2" t="n"/>
    </row>
    <row r="29">
      <c r="A29" s="2" t="inlineStr">
        <is>
          <t>150-5370-10H-P0114-011</t>
        </is>
      </c>
      <c r="B29" s="2" t="inlineStr">
        <is>
          <t>150-5370-10H.pdf</t>
        </is>
      </c>
      <c r="C29" s="2" t="n">
        <v>114</v>
      </c>
      <c r="D29" s="2" t="n">
        <v>11</v>
      </c>
      <c r="E29" s="2" t="inlineStr">
        <is>
          <t>Delete bracketed DTM paragraphs if DTM not used.</t>
        </is>
      </c>
      <c r="F29" s="2" t="inlineStr">
        <is>
          <t>Nē</t>
        </is>
      </c>
      <c r="G29" s="2" t="n"/>
    </row>
    <row r="30">
      <c r="A30" s="2" t="inlineStr">
        <is>
          <t>150-5370-10H-P0114-012</t>
        </is>
      </c>
      <c r="B30" s="2" t="inlineStr">
        <is>
          <t>150-5370-10H.pdf</t>
        </is>
      </c>
      <c r="C30" s="2" t="n">
        <v>114</v>
      </c>
      <c r="D30" s="2" t="n">
        <v>12</v>
      </c>
      <c r="E30" s="2" t="inlineStr">
        <is>
          <t>All areas to be excavated shall be stripped of vegetation and topsoil.</t>
        </is>
      </c>
      <c r="F30" s="2" t="inlineStr">
        <is>
          <t>Nē</t>
        </is>
      </c>
      <c r="G30" s="2" t="n"/>
    </row>
    <row r="31">
      <c r="A31" s="2" t="inlineStr">
        <is>
          <t>150-5370-10H-P0114-013</t>
        </is>
      </c>
      <c r="B31" s="2" t="inlineStr">
        <is>
          <t>150-5370-10H.pdf</t>
        </is>
      </c>
      <c r="C31" s="2" t="n">
        <v>114</v>
      </c>
      <c r="D31" s="2" t="n">
        <v>13</v>
      </c>
      <c r="E31" s="2" t="inlineStr">
        <is>
          <t>Topsoil shall be stockpiled for future use in areas designated on the plans or by the RPR.</t>
        </is>
      </c>
      <c r="F31" s="2" t="inlineStr">
        <is>
          <t>Nē</t>
        </is>
      </c>
      <c r="G31" s="2" t="n"/>
    </row>
    <row r="32">
      <c r="A32" s="2" t="inlineStr">
        <is>
          <t>150-5370-10H-P0114-014</t>
        </is>
      </c>
      <c r="B32" s="2" t="inlineStr">
        <is>
          <t>150-5370-10H.pdf</t>
        </is>
      </c>
      <c r="C32" s="2" t="n">
        <v>114</v>
      </c>
      <c r="D32" s="2" t="n">
        <v>14</v>
      </c>
      <c r="E32" s="2" t="inlineStr">
        <is>
          <t>All suitable excavated material shall be used in the formation of embankment, subgrade, or other purposes as shown on the plans.</t>
        </is>
      </c>
      <c r="F32" s="2" t="inlineStr">
        <is>
          <t>Nē</t>
        </is>
      </c>
      <c r="G32" s="2" t="n"/>
    </row>
    <row r="33">
      <c r="A33" s="2" t="inlineStr">
        <is>
          <t>150-5370-10H-P0114-015</t>
        </is>
      </c>
      <c r="B33" s="2" t="inlineStr">
        <is>
          <t>150-5370-10H.pdf</t>
        </is>
      </c>
      <c r="C33" s="2" t="n">
        <v>114</v>
      </c>
      <c r="D33" s="2" t="n">
        <v>15</v>
      </c>
      <c r="E33" s="2" t="inlineStr">
        <is>
          <t>All unsuitable material shall be disposed of as shown on the plans.</t>
        </is>
      </c>
      <c r="F33" s="2" t="inlineStr">
        <is>
          <t>Nē</t>
        </is>
      </c>
      <c r="G33" s="2" t="n"/>
    </row>
    <row r="34">
      <c r="A34" s="2" t="inlineStr">
        <is>
          <t>150-5370-10H-P0114-016</t>
        </is>
      </c>
      <c r="B34" s="2" t="inlineStr">
        <is>
          <t>150-5370-10H.pdf</t>
        </is>
      </c>
      <c r="C34" s="2" t="n">
        <v>114</v>
      </c>
      <c r="D34" s="2" t="n">
        <v>16</v>
      </c>
      <c r="E34" s="2" t="inlineStr">
        <is>
          <t>The grade shall be maintained so that the surface is well drained at all times.</t>
        </is>
      </c>
      <c r="F34" s="2" t="inlineStr">
        <is>
          <t>Nē</t>
        </is>
      </c>
      <c r="G34" s="2" t="n"/>
    </row>
    <row r="35">
      <c r="A35" s="2" t="inlineStr">
        <is>
          <t>150-5370-10H-P0114-017</t>
        </is>
      </c>
      <c r="B35" s="2" t="inlineStr">
        <is>
          <t>150-5370-10H.pdf</t>
        </is>
      </c>
      <c r="C35" s="2" t="n">
        <v>114</v>
      </c>
      <c r="D35" s="2" t="n">
        <v>17</v>
      </c>
      <c r="E35" s="2" t="inlineStr">
        <is>
          <t>When the volume of the excavation exceeds that required to construct the embankments to the grades as indicated on the plans, the excess shall be used to grade the areas of ultimate development or disposed as directed by the RPR.</t>
        </is>
      </c>
      <c r="F35" s="2" t="inlineStr">
        <is>
          <t>Nē</t>
        </is>
      </c>
      <c r="G35" s="2" t="n"/>
    </row>
    <row r="36">
      <c r="A36" s="2" t="inlineStr">
        <is>
          <t>150-5370-10H-P0114-018</t>
        </is>
      </c>
      <c r="B36" s="2" t="inlineStr">
        <is>
          <t>150-5370-10H.pdf</t>
        </is>
      </c>
      <c r="C36" s="2" t="n">
        <v>114</v>
      </c>
      <c r="D36" s="2" t="n">
        <v>18</v>
      </c>
      <c r="E36" s="2" t="inlineStr">
        <is>
          <t>When the volume of excavation is not sufficient for constructing the embankments to the grades indicated, the deficiency shall be obtained from borrow areas.</t>
        </is>
      </c>
      <c r="F36" s="2" t="inlineStr">
        <is>
          <t>Nē</t>
        </is>
      </c>
      <c r="G36" s="2" t="n"/>
    </row>
    <row r="37">
      <c r="A37" s="2" t="inlineStr">
        <is>
          <t>150-5370-10H-P0114-019</t>
        </is>
      </c>
      <c r="B37" s="2" t="inlineStr">
        <is>
          <t>150-5370-10H.pdf</t>
        </is>
      </c>
      <c r="C37" s="2" t="n">
        <v>114</v>
      </c>
      <c r="D37" s="2" t="n">
        <v>19</v>
      </c>
      <c r="E37" s="2" t="inlineStr">
        <is>
          <t>During the design phase, perform subsurface investigations to identify existing subsurface conditions to minimize the potential for unforeseen conditions arising</t>
        </is>
      </c>
      <c r="F37" s="2" t="inlineStr">
        <is>
          <t>Nē</t>
        </is>
      </c>
      <c r="G37" s="2" t="n"/>
    </row>
    <row r="38">
      <c r="A38" s="2" t="inlineStr">
        <is>
          <t>150-5370-10H-P0114-020</t>
        </is>
      </c>
      <c r="B38" s="2" t="inlineStr">
        <is>
          <t>150-5370-10H.pdf</t>
        </is>
      </c>
      <c r="C38" s="2" t="n">
        <v>114</v>
      </c>
      <c r="D38" s="2" t="n">
        <v>20</v>
      </c>
      <c r="E38" s="2" t="inlineStr">
        <is>
          <t>Item P-152 Excavation, Subgrade, and Embankment 106</t>
        </is>
      </c>
      <c r="F38" s="2" t="inlineStr">
        <is>
          <t>Nē</t>
        </is>
      </c>
      <c r="G38" s="2" t="n"/>
    </row>
    <row r="39">
      <c r="A39" s="2" t="inlineStr">
        <is>
          <t>150-5370-10H-P0162-001</t>
        </is>
      </c>
      <c r="B39" s="2" t="inlineStr">
        <is>
          <t>150-5370-10H.pdf</t>
        </is>
      </c>
      <c r="C39" s="2" t="n">
        <v>162</v>
      </c>
      <c r="D39" s="2" t="n">
        <v>1</v>
      </c>
      <c r="E39" s="2" t="inlineStr">
        <is>
          <t>12/21/2018 AC 150/5370-10H</t>
        </is>
      </c>
      <c r="F39" s="2" t="inlineStr">
        <is>
          <t>Nē</t>
        </is>
      </c>
      <c r="G39" s="2" t="n"/>
    </row>
    <row r="40">
      <c r="A40" s="2" t="inlineStr">
        <is>
          <t>150-5370-10H-P0162-002</t>
        </is>
      </c>
      <c r="B40" s="2" t="inlineStr">
        <is>
          <t>150-5370-10H.pdf</t>
        </is>
      </c>
      <c r="C40" s="2" t="n">
        <v>162</v>
      </c>
      <c r="D40" s="2" t="n">
        <v>2</v>
      </c>
      <c r="E40" s="2" t="inlineStr">
        <is>
          <t>ASTM C1602 Standard Specification for Mixing Water Used in the Production of Hydraulic Cement Concrete</t>
        </is>
      </c>
      <c r="F40" s="2" t="inlineStr">
        <is>
          <t>Nē</t>
        </is>
      </c>
      <c r="G40" s="2" t="n"/>
    </row>
    <row r="41">
      <c r="A41" s="2" t="inlineStr">
        <is>
          <t>150-5370-10H-P0162-003</t>
        </is>
      </c>
      <c r="B41" s="2" t="inlineStr">
        <is>
          <t>150-5370-10H.pdf</t>
        </is>
      </c>
      <c r="C41" s="2" t="n">
        <v>162</v>
      </c>
      <c r="D41" s="2" t="n">
        <v>3</v>
      </c>
      <c r="E41" s="2" t="inlineStr">
        <is>
          <t>ASTM D698 Standard Test Methods for Laboratory Compaction Characteristics of Soil Using Standard Effort (12,400 ft-lbf/ft3 (600 kN-m/m3))</t>
        </is>
      </c>
      <c r="F41" s="2" t="inlineStr">
        <is>
          <t>Nē</t>
        </is>
      </c>
      <c r="G41" s="2" t="n"/>
    </row>
    <row r="42">
      <c r="A42" s="2" t="inlineStr">
        <is>
          <t>150-5370-10H-P0162-004</t>
        </is>
      </c>
      <c r="B42" s="2" t="inlineStr">
        <is>
          <t>150-5370-10H.pdf</t>
        </is>
      </c>
      <c r="C42" s="2" t="n">
        <v>162</v>
      </c>
      <c r="D42" s="2" t="n">
        <v>4</v>
      </c>
      <c r="E42" s="2" t="inlineStr">
        <is>
          <t>ASTM D1556 Standard Test Method for Density and Unit Weight of Soil in Place by the Sand-Cone Method</t>
        </is>
      </c>
      <c r="F42" s="2" t="inlineStr">
        <is>
          <t>Nē</t>
        </is>
      </c>
      <c r="G42" s="2" t="n"/>
    </row>
    <row r="43">
      <c r="A43" s="2" t="inlineStr">
        <is>
          <t>150-5370-10H-P0162-005</t>
        </is>
      </c>
      <c r="B43" s="2" t="inlineStr">
        <is>
          <t>150-5370-10H.pdf</t>
        </is>
      </c>
      <c r="C43" s="2" t="n">
        <v>162</v>
      </c>
      <c r="D43" s="2" t="n">
        <v>5</v>
      </c>
      <c r="E43" s="2" t="inlineStr">
        <is>
          <t>ASTM D1557 Standard Test Methods for Laboratory Compaction Characteristics of Soil Using Modified Effort (56,000 ft-lbf/ft3 (2,700 kN-m/m3))</t>
        </is>
      </c>
      <c r="F43" s="2" t="inlineStr">
        <is>
          <t>Nē</t>
        </is>
      </c>
      <c r="G43" s="2" t="n"/>
    </row>
    <row r="44">
      <c r="A44" s="2" t="inlineStr">
        <is>
          <t>150-5370-10H-P0162-006</t>
        </is>
      </c>
      <c r="B44" s="2" t="inlineStr">
        <is>
          <t>150-5370-10H.pdf</t>
        </is>
      </c>
      <c r="C44" s="2" t="n">
        <v>162</v>
      </c>
      <c r="D44" s="2" t="n">
        <v>6</v>
      </c>
      <c r="E44" s="2" t="inlineStr">
        <is>
          <t>ASTM D2487 Standard Practice for Classification of Soils for Engineering Purposes (Unified Soil Classification System)</t>
        </is>
      </c>
      <c r="F44" s="2" t="inlineStr">
        <is>
          <t>Nē</t>
        </is>
      </c>
      <c r="G44" s="2" t="n"/>
    </row>
    <row r="45">
      <c r="A45" s="2" t="inlineStr">
        <is>
          <t>150-5370-10H-P0162-007</t>
        </is>
      </c>
      <c r="B45" s="2" t="inlineStr">
        <is>
          <t>150-5370-10H.pdf</t>
        </is>
      </c>
      <c r="C45" s="2" t="n">
        <v>162</v>
      </c>
      <c r="D45" s="2" t="n">
        <v>7</v>
      </c>
      <c r="E45" s="2" t="inlineStr">
        <is>
          <t>ASTM D4959 Standard Test Method for Determination of Water Content of Soil by Direct Heating</t>
        </is>
      </c>
      <c r="F45" s="2" t="inlineStr">
        <is>
          <t>Nē</t>
        </is>
      </c>
      <c r="G45" s="2" t="n"/>
    </row>
    <row r="46">
      <c r="A46" s="2" t="inlineStr">
        <is>
          <t>150-5370-10H-P0162-008</t>
        </is>
      </c>
      <c r="B46" s="2" t="inlineStr">
        <is>
          <t>150-5370-10H.pdf</t>
        </is>
      </c>
      <c r="C46" s="2" t="n">
        <v>162</v>
      </c>
      <c r="D46" s="2" t="n">
        <v>8</v>
      </c>
      <c r="E46" s="2" t="inlineStr">
        <is>
          <t>ASTM D6938 Standard Test Method for In-Place Density and Water Content of Soil and Soil-Aggregate by Nuclear Methods (Shallow Depth)</t>
        </is>
      </c>
      <c r="F46" s="2" t="inlineStr">
        <is>
          <t>Nē</t>
        </is>
      </c>
      <c r="G46" s="2" t="n"/>
    </row>
    <row r="47">
      <c r="A47" s="2" t="inlineStr">
        <is>
          <t>150-5370-10H-P0162-009</t>
        </is>
      </c>
      <c r="B47" s="2" t="inlineStr">
        <is>
          <t>150-5370-10H.pdf</t>
        </is>
      </c>
      <c r="C47" s="2" t="n">
        <v>162</v>
      </c>
      <c r="D47" s="2" t="n">
        <v>9</v>
      </c>
      <c r="E47" s="2" t="inlineStr">
        <is>
          <t>END OF ITEM P-158</t>
        </is>
      </c>
      <c r="F47" s="2" t="inlineStr">
        <is>
          <t>Nē</t>
        </is>
      </c>
      <c r="G47" s="2" t="n"/>
    </row>
    <row r="48">
      <c r="A48" s="2" t="inlineStr">
        <is>
          <t>150-5370-10H-P0162-010</t>
        </is>
      </c>
      <c r="B48" s="2" t="inlineStr">
        <is>
          <t>150-5370-10H.pdf</t>
        </is>
      </c>
      <c r="C48" s="2" t="n">
        <v>162</v>
      </c>
      <c r="D48" s="2" t="n">
        <v>10</v>
      </c>
      <c r="E48" s="2" t="inlineStr">
        <is>
          <t>Item P-158 Fly Ash Treated Subgrade 154</t>
        </is>
      </c>
      <c r="F48" s="2" t="inlineStr">
        <is>
          <t>Nē</t>
        </is>
      </c>
      <c r="G48" s="2" t="n"/>
    </row>
    <row r="49">
      <c r="A49" s="2" t="inlineStr">
        <is>
          <t>150-5370-10H-P0181-001</t>
        </is>
      </c>
      <c r="B49" s="2" t="inlineStr">
        <is>
          <t>150-5370-10H.pdf</t>
        </is>
      </c>
      <c r="C49" s="2" t="n">
        <v>181</v>
      </c>
      <c r="D49" s="2" t="n">
        <v>1</v>
      </c>
      <c r="E49" s="2" t="inlineStr">
        <is>
          <t>12/21/2018 AC 150/5370-10H</t>
        </is>
      </c>
      <c r="F49" s="2" t="inlineStr">
        <is>
          <t>Nē</t>
        </is>
      </c>
      <c r="G49" s="2" t="n"/>
    </row>
    <row r="50">
      <c r="A50" s="2" t="inlineStr">
        <is>
          <t>150-5370-10H-P0181-002</t>
        </is>
      </c>
      <c r="B50" s="2" t="inlineStr">
        <is>
          <t>150-5370-10H.pdf</t>
        </is>
      </c>
      <c r="C50" s="2" t="n">
        <v>181</v>
      </c>
      <c r="D50" s="2" t="n">
        <v>2</v>
      </c>
      <c r="E50" s="2" t="inlineStr">
        <is>
          <t>Item P-209 Crushed Aggregate Base Course</t>
        </is>
      </c>
      <c r="F50" s="2" t="inlineStr">
        <is>
          <t>Nē</t>
        </is>
      </c>
      <c r="G50" s="2" t="n"/>
    </row>
    <row r="51">
      <c r="A51" s="2" t="inlineStr">
        <is>
          <t>150-5370-10H-P0181-003</t>
        </is>
      </c>
      <c r="B51" s="2" t="inlineStr">
        <is>
          <t>150-5370-10H.pdf</t>
        </is>
      </c>
      <c r="C51" s="2" t="n">
        <v>181</v>
      </c>
      <c r="D51" s="2" t="n">
        <v>3</v>
      </c>
      <c r="E51" s="2" t="inlineStr">
        <is>
          <t>Item P-209, Crushed Aggregate Base Course, can be used as a base course under</t>
        </is>
      </c>
      <c r="F51" s="2" t="inlineStr">
        <is>
          <t>Nē</t>
        </is>
      </c>
      <c r="G51" s="2" t="n"/>
    </row>
    <row r="52">
      <c r="A52" s="2" t="inlineStr">
        <is>
          <t>150-5370-10H-P0181-004</t>
        </is>
      </c>
      <c r="B52" s="2" t="inlineStr">
        <is>
          <t>150-5370-10H.pdf</t>
        </is>
      </c>
      <c r="C52" s="2" t="n">
        <v>181</v>
      </c>
      <c r="D52" s="2" t="n">
        <v>4</v>
      </c>
      <c r="E52" s="2" t="inlineStr">
        <is>
          <t>flexible or rigid pavements.</t>
        </is>
      </c>
      <c r="F52" s="2" t="inlineStr">
        <is>
          <t>Nē</t>
        </is>
      </c>
      <c r="G52" s="2" t="n"/>
    </row>
    <row r="53">
      <c r="A53" s="2" t="inlineStr">
        <is>
          <t>150-5370-10H-P0181-005</t>
        </is>
      </c>
      <c r="B53" s="2" t="inlineStr">
        <is>
          <t>150-5370-10H.pdf</t>
        </is>
      </c>
      <c r="C53" s="2" t="n">
        <v>181</v>
      </c>
      <c r="D53" s="2" t="n">
        <v>5</v>
      </c>
      <c r="E53" s="2" t="inlineStr">
        <is>
          <t>See AC 150/5320-6 for additional guidance.</t>
        </is>
      </c>
      <c r="F53" s="2" t="inlineStr">
        <is>
          <t>Nē</t>
        </is>
      </c>
      <c r="G53" s="2" t="n"/>
    </row>
    <row r="54">
      <c r="A54" s="2" t="inlineStr">
        <is>
          <t>150-5370-10H-P0181-006</t>
        </is>
      </c>
      <c r="B54" s="2" t="inlineStr">
        <is>
          <t>150-5370-10H.pdf</t>
        </is>
      </c>
      <c r="C54" s="2" t="n">
        <v>181</v>
      </c>
      <c r="D54" s="2" t="n">
        <v>6</v>
      </c>
      <c r="E54" s="2" t="inlineStr">
        <is>
          <t>DESCRIPTION</t>
        </is>
      </c>
      <c r="F54" s="2" t="inlineStr">
        <is>
          <t>Nē</t>
        </is>
      </c>
      <c r="G54" s="2" t="n"/>
    </row>
    <row r="55">
      <c r="A55" s="2" t="inlineStr">
        <is>
          <t>150-5370-10H-P0181-007</t>
        </is>
      </c>
      <c r="B55" s="2" t="inlineStr">
        <is>
          <t>150-5370-10H.pdf</t>
        </is>
      </c>
      <c r="C55" s="2" t="n">
        <v>181</v>
      </c>
      <c r="D55" s="2" t="n">
        <v>7</v>
      </c>
      <c r="E55" s="2" t="inlineStr">
        <is>
          <t>209-1.1 This item consists of a base course composed of crushed aggregate base constructed on a prepared course in accordance with these specifications and in conformity to the dimensions and typical cross-sections shown on the plans.</t>
        </is>
      </c>
      <c r="F55" s="2" t="inlineStr">
        <is>
          <t>Nē</t>
        </is>
      </c>
      <c r="G55" s="2" t="n"/>
    </row>
    <row r="56">
      <c r="A56" s="2" t="inlineStr">
        <is>
          <t>150-5370-10H-P0181-008</t>
        </is>
      </c>
      <c r="B56" s="2" t="inlineStr">
        <is>
          <t>150-5370-10H.pdf</t>
        </is>
      </c>
      <c r="C56" s="2" t="n">
        <v>181</v>
      </c>
      <c r="D56" s="2" t="n">
        <v>8</v>
      </c>
      <c r="E56" s="2" t="inlineStr">
        <is>
          <t>MATERIALS</t>
        </is>
      </c>
      <c r="F56" s="2" t="inlineStr">
        <is>
          <t>Nē</t>
        </is>
      </c>
      <c r="G56" s="2" t="n"/>
    </row>
    <row r="57">
      <c r="A57" s="2" t="inlineStr">
        <is>
          <t>150-5370-10H-P0181-009</t>
        </is>
      </c>
      <c r="B57" s="2" t="inlineStr">
        <is>
          <t>150-5370-10H.pdf</t>
        </is>
      </c>
      <c r="C57" s="2" t="n">
        <v>181</v>
      </c>
      <c r="D57" s="2" t="n">
        <v>9</v>
      </c>
      <c r="E57" s="2" t="inlineStr">
        <is>
          <t>209-2.1 Crushed aggregate base.</t>
        </is>
      </c>
      <c r="F57" s="2" t="inlineStr">
        <is>
          <t>Nē</t>
        </is>
      </c>
      <c r="G57" s="2" t="n"/>
    </row>
    <row r="58">
      <c r="A58" s="2" t="inlineStr">
        <is>
          <t>150-5370-10H-P0181-010</t>
        </is>
      </c>
      <c r="B58" s="2" t="inlineStr">
        <is>
          <t>150-5370-10H.pdf</t>
        </is>
      </c>
      <c r="C58" s="2" t="n">
        <v>181</v>
      </c>
      <c r="D58" s="2" t="n">
        <v>10</v>
      </c>
      <c r="E58" s="2" t="inlineStr">
        <is>
          <t>Crushed aggregate shall consist of clean, sound, durable particles of crushed stone, crushed gravel, [ or crushed slag ] and shall be free from coatings of clay, silt, organic material, clay lumps or balls or other deleterious materials or coatings.</t>
        </is>
      </c>
      <c r="F58" s="2" t="inlineStr">
        <is>
          <t>Nē</t>
        </is>
      </c>
      <c r="G58" s="2" t="n"/>
    </row>
    <row r="59">
      <c r="A59" s="2" t="inlineStr">
        <is>
          <t>150-5370-10H-P0181-011</t>
        </is>
      </c>
      <c r="B59" s="2" t="inlineStr">
        <is>
          <t>150-5370-10H.pdf</t>
        </is>
      </c>
      <c r="C59" s="2" t="n">
        <v>181</v>
      </c>
      <c r="D59" s="2" t="n">
        <v>11</v>
      </c>
      <c r="E59" s="2" t="inlineStr">
        <is>
          <t>The method used to produce the crushed gravel shall result in the fractured particles in the finished product as consistent and uniform as practicable.</t>
        </is>
      </c>
      <c r="F59" s="2" t="inlineStr">
        <is>
          <t>Nē</t>
        </is>
      </c>
      <c r="G59" s="2" t="n"/>
    </row>
    <row r="60">
      <c r="A60" s="2" t="inlineStr">
        <is>
          <t>150-5370-10H-P0181-012</t>
        </is>
      </c>
      <c r="B60" s="2" t="inlineStr">
        <is>
          <t>150-5370-10H.pdf</t>
        </is>
      </c>
      <c r="C60" s="2" t="n">
        <v>181</v>
      </c>
      <c r="D60" s="2" t="n">
        <v>12</v>
      </c>
      <c r="E60" s="2" t="inlineStr">
        <is>
          <t>Fine aggregate portion, defined as the portion passing the No.</t>
        </is>
      </c>
      <c r="F60" s="2" t="inlineStr">
        <is>
          <t>Nē</t>
        </is>
      </c>
      <c r="G60" s="2" t="n"/>
    </row>
    <row r="61">
      <c r="A61" s="2" t="inlineStr">
        <is>
          <t>150-5370-10H-P0181-013</t>
        </is>
      </c>
      <c r="B61" s="2" t="inlineStr">
        <is>
          <t>150-5370-10H.pdf</t>
        </is>
      </c>
      <c r="C61" s="2" t="n">
        <v>181</v>
      </c>
      <c r="D61" s="2" t="n">
        <v>13</v>
      </c>
      <c r="E61" s="2" t="inlineStr">
        <is>
          <t>4 (4.75 mm) sieve shall consist of fines from the coarse aggregate crushing operation.</t>
        </is>
      </c>
      <c r="F61" s="2" t="inlineStr">
        <is>
          <t>Nē</t>
        </is>
      </c>
      <c r="G61" s="2" t="n"/>
    </row>
    <row r="62">
      <c r="A62" s="2" t="inlineStr">
        <is>
          <t>150-5370-10H-P0181-014</t>
        </is>
      </c>
      <c r="B62" s="2" t="inlineStr">
        <is>
          <t>150-5370-10H.pdf</t>
        </is>
      </c>
      <c r="C62" s="2" t="n">
        <v>181</v>
      </c>
      <c r="D62" s="2" t="n">
        <v>14</v>
      </c>
      <c r="E62" s="2" t="inlineStr">
        <is>
          <t>The fine aggregate shall be produced by crushing stone, gravel, [ or slag ] that meet the coarse aggregate requirements for wear and soundness.</t>
        </is>
      </c>
      <c r="F62" s="2" t="inlineStr">
        <is>
          <t>Nē</t>
        </is>
      </c>
      <c r="G62" s="2" t="n"/>
    </row>
    <row r="63">
      <c r="A63" s="2" t="inlineStr">
        <is>
          <t>150-5370-10H-P0181-015</t>
        </is>
      </c>
      <c r="B63" s="2" t="inlineStr">
        <is>
          <t>150-5370-10H.pdf</t>
        </is>
      </c>
      <c r="C63" s="2" t="n">
        <v>181</v>
      </c>
      <c r="D63" s="2" t="n">
        <v>15</v>
      </c>
      <c r="E63" s="2" t="inlineStr">
        <is>
          <t>Aggregate base material requirements are listed in the following table.</t>
        </is>
      </c>
      <c r="F63" s="2" t="inlineStr">
        <is>
          <t>Nē</t>
        </is>
      </c>
      <c r="G63" s="2" t="n"/>
    </row>
    <row r="64">
      <c r="A64" s="2" t="inlineStr">
        <is>
          <t>150-5370-10H-P0181-016</t>
        </is>
      </c>
      <c r="B64" s="2" t="inlineStr">
        <is>
          <t>150-5370-10H.pdf</t>
        </is>
      </c>
      <c r="C64" s="2" t="n">
        <v>181</v>
      </c>
      <c r="D64" s="2" t="n">
        <v>16</v>
      </c>
      <c r="E64" s="2" t="inlineStr">
        <is>
          <t>Item P-209 Crushed Aggregate Base Course 173</t>
        </is>
      </c>
      <c r="F64" s="2" t="inlineStr">
        <is>
          <t>Nē</t>
        </is>
      </c>
      <c r="G64" s="2" t="n"/>
    </row>
    <row r="65">
      <c r="A65" s="2" t="inlineStr">
        <is>
          <t>150-5370-10H-P0192-001</t>
        </is>
      </c>
      <c r="B65" s="2" t="inlineStr">
        <is>
          <t>150-5370-10H.pdf</t>
        </is>
      </c>
      <c r="C65" s="2" t="n">
        <v>192</v>
      </c>
      <c r="D65" s="2" t="n">
        <v>1</v>
      </c>
      <c r="E65" s="2" t="inlineStr">
        <is>
          <t>12/21/2018 AC 150/5370-10H</t>
        </is>
      </c>
      <c r="F65" s="2" t="inlineStr">
        <is>
          <t>Nē</t>
        </is>
      </c>
      <c r="G65" s="2" t="n"/>
    </row>
    <row r="66">
      <c r="A66" s="2" t="inlineStr">
        <is>
          <t>150-5370-10H-P0192-002</t>
        </is>
      </c>
      <c r="B66" s="2" t="inlineStr">
        <is>
          <t>150-5370-10H.pdf</t>
        </is>
      </c>
      <c r="C66" s="2" t="n">
        <v>192</v>
      </c>
      <c r="D66" s="2" t="n">
        <v>2</v>
      </c>
      <c r="E66" s="2" t="inlineStr">
        <is>
          <t>requirements in paragraph 210-2.1 and 210-2.2.</t>
        </is>
      </c>
      <c r="F66" s="2" t="inlineStr">
        <is>
          <t>Nē</t>
        </is>
      </c>
      <c r="G66" s="2" t="n"/>
    </row>
    <row r="67">
      <c r="A67" s="2" t="inlineStr">
        <is>
          <t>150-5370-10H-P0192-003</t>
        </is>
      </c>
      <c r="B67" s="2" t="inlineStr">
        <is>
          <t>150-5370-10H.pdf</t>
        </is>
      </c>
      <c r="C67" s="2" t="n">
        <v>192</v>
      </c>
      <c r="D67" s="2" t="n">
        <v>3</v>
      </c>
      <c r="E67" s="2" t="inlineStr">
        <is>
          <t>This sampling and testing will be the basis for approval of the aggregate base quality requirements.</t>
        </is>
      </c>
      <c r="F67" s="2" t="inlineStr">
        <is>
          <t>Nē</t>
        </is>
      </c>
      <c r="G67" s="2" t="n"/>
    </row>
    <row r="68">
      <c r="A68" s="2" t="inlineStr">
        <is>
          <t>150-5370-10H-P0192-004</t>
        </is>
      </c>
      <c r="B68" s="2" t="inlineStr">
        <is>
          <t>150-5370-10H.pdf</t>
        </is>
      </c>
      <c r="C68" s="2" t="n">
        <v>192</v>
      </c>
      <c r="D68" s="2" t="n">
        <v>4</v>
      </c>
      <c r="E68" s="2" t="inlineStr">
        <is>
          <t>b. Gradation requirements.</t>
        </is>
      </c>
      <c r="F68" s="2" t="inlineStr">
        <is>
          <t>Nē</t>
        </is>
      </c>
      <c r="G68" s="2" t="n"/>
    </row>
    <row r="69">
      <c r="A69" s="2" t="inlineStr">
        <is>
          <t>150-5370-10H-P0192-005</t>
        </is>
      </c>
      <c r="B69" s="2" t="inlineStr">
        <is>
          <t>150-5370-10H.pdf</t>
        </is>
      </c>
      <c r="C69" s="2" t="n">
        <v>192</v>
      </c>
      <c r="D69" s="2" t="n">
        <v>5</v>
      </c>
      <c r="E69" s="2" t="inlineStr">
        <is>
          <t>The Contractor shall take at least [ two ] aggregate base samples per day in the presence of the Resident Project Representative (RPR) to check the final gradation.</t>
        </is>
      </c>
      <c r="F69" s="2" t="inlineStr">
        <is>
          <t>Nē</t>
        </is>
      </c>
      <c r="G69" s="2" t="n"/>
    </row>
    <row r="70">
      <c r="A70" s="2" t="inlineStr">
        <is>
          <t>150-5370-10H-P0192-006</t>
        </is>
      </c>
      <c r="B70" s="2" t="inlineStr">
        <is>
          <t>150-5370-10H.pdf</t>
        </is>
      </c>
      <c r="C70" s="2" t="n">
        <v>192</v>
      </c>
      <c r="D70" s="2" t="n">
        <v>6</v>
      </c>
      <c r="E70" s="2" t="inlineStr">
        <is>
          <t>Sampling shall be per ASTM D75.</t>
        </is>
      </c>
      <c r="F70" s="2" t="inlineStr">
        <is>
          <t>Nē</t>
        </is>
      </c>
      <c r="G70" s="2" t="n"/>
    </row>
    <row r="71">
      <c r="A71" s="2" t="inlineStr">
        <is>
          <t>150-5370-10H-P0192-007</t>
        </is>
      </c>
      <c r="B71" s="2" t="inlineStr">
        <is>
          <t>150-5370-10H.pdf</t>
        </is>
      </c>
      <c r="C71" s="2" t="n">
        <v>192</v>
      </c>
      <c r="D71" s="2" t="n">
        <v>7</v>
      </c>
      <c r="E71" s="2" t="inlineStr">
        <is>
          <t>Material shall meet the requirements in paragraph 210-2.1 and 210-2.2.</t>
        </is>
      </c>
      <c r="F71" s="2" t="inlineStr">
        <is>
          <t>Nē</t>
        </is>
      </c>
      <c r="G71" s="2" t="n"/>
    </row>
    <row r="72">
      <c r="A72" s="2" t="inlineStr">
        <is>
          <t>150-5370-10H-P0192-008</t>
        </is>
      </c>
      <c r="B72" s="2" t="inlineStr">
        <is>
          <t>150-5370-10H.pdf</t>
        </is>
      </c>
      <c r="C72" s="2" t="n">
        <v>192</v>
      </c>
      <c r="D72" s="2" t="n">
        <v>8</v>
      </c>
      <c r="E72" s="2" t="inlineStr">
        <is>
          <t>The lot will be consistent with the lot size used for density.</t>
        </is>
      </c>
      <c r="F72" s="2" t="inlineStr">
        <is>
          <t>Nē</t>
        </is>
      </c>
      <c r="G72" s="2" t="n"/>
    </row>
    <row r="73">
      <c r="A73" s="2" t="inlineStr">
        <is>
          <t>150-5370-10H-P0192-009</t>
        </is>
      </c>
      <c r="B73" s="2" t="inlineStr">
        <is>
          <t>150-5370-10H.pdf</t>
        </is>
      </c>
      <c r="C73" s="2" t="n">
        <v>192</v>
      </c>
      <c r="D73" s="2" t="n">
        <v>9</v>
      </c>
      <c r="E73" s="2" t="inlineStr">
        <is>
          <t>The samples shall be taken from the in-place, uncompacted material at sampling points and intervals designated by the RPR.</t>
        </is>
      </c>
      <c r="F73" s="2" t="inlineStr">
        <is>
          <t>Nē</t>
        </is>
      </c>
      <c r="G73" s="2" t="n"/>
    </row>
    <row r="74">
      <c r="A74" s="2" t="inlineStr">
        <is>
          <t>150-5370-10H-P0192-010</t>
        </is>
      </c>
      <c r="B74" s="2" t="inlineStr">
        <is>
          <t>150-5370-10H.pdf</t>
        </is>
      </c>
      <c r="C74" s="2" t="n">
        <v>192</v>
      </c>
      <c r="D74" s="2" t="n">
        <v>10</v>
      </c>
      <c r="E74" s="2" t="inlineStr">
        <is>
          <t>The Engineer may require additional sampling points for quality requirements.</t>
        </is>
      </c>
      <c r="F74" s="2" t="inlineStr">
        <is>
          <t>Nē</t>
        </is>
      </c>
      <c r="G74" s="2" t="n"/>
    </row>
    <row r="75">
      <c r="A75" s="2" t="inlineStr">
        <is>
          <t>150-5370-10H-P0192-011</t>
        </is>
      </c>
      <c r="B75" s="2" t="inlineStr">
        <is>
          <t>150-5370-10H.pdf</t>
        </is>
      </c>
      <c r="C75" s="2" t="n">
        <v>192</v>
      </c>
      <c r="D75" s="2" t="n">
        <v>11</v>
      </c>
      <c r="E75" s="2" t="inlineStr">
        <is>
          <t>The Engineer shall define when additional sampling points are needed in the above paragraph.</t>
        </is>
      </c>
      <c r="F75" s="2" t="inlineStr">
        <is>
          <t>Nē</t>
        </is>
      </c>
      <c r="G75" s="2" t="n"/>
    </row>
    <row r="76">
      <c r="A76" s="2" t="inlineStr">
        <is>
          <t>150-5370-10H-P0192-012</t>
        </is>
      </c>
      <c r="B76" s="2" t="inlineStr">
        <is>
          <t>150-5370-10H.pdf</t>
        </is>
      </c>
      <c r="C76" s="2" t="n">
        <v>192</v>
      </c>
      <c r="D76" s="2" t="n">
        <v>12</v>
      </c>
      <c r="E76" s="2" t="inlineStr">
        <is>
          <t>210-2.4 Separation Geotextile.</t>
        </is>
      </c>
      <c r="F76" s="2" t="inlineStr">
        <is>
          <t>Nē</t>
        </is>
      </c>
      <c r="G76" s="2" t="n"/>
    </row>
    <row r="77">
      <c r="A77" s="2" t="inlineStr">
        <is>
          <t>150-5370-10H-P0192-013</t>
        </is>
      </c>
      <c r="B77" s="2" t="inlineStr">
        <is>
          <t>150-5370-10H.pdf</t>
        </is>
      </c>
      <c r="C77" s="2" t="n">
        <v>192</v>
      </c>
      <c r="D77" s="2" t="n">
        <v>13</v>
      </c>
      <c r="E77" s="2" t="inlineStr">
        <is>
          <t>[ Not used. ] [ Separation geotextile shall be [ Class 2, 0.02 sec-1 permittivity ] per ASTM D4491. ] [ Apparent opening size per ASTM D4751 with [ 0.60 mm ] maximum average roll value. ]</t>
        </is>
      </c>
      <c r="F77" s="2" t="inlineStr">
        <is>
          <t>Nē</t>
        </is>
      </c>
      <c r="G77" s="2" t="n"/>
    </row>
    <row r="78">
      <c r="A78" s="2" t="inlineStr">
        <is>
          <t>150-5370-10H-P0192-014</t>
        </is>
      </c>
      <c r="B78" s="2" t="inlineStr">
        <is>
          <t>150-5370-10H.pdf</t>
        </is>
      </c>
      <c r="C78" s="2" t="n">
        <v>192</v>
      </c>
      <c r="D78" s="2" t="n">
        <v>14</v>
      </c>
      <c r="E78" s="2" t="inlineStr">
        <is>
          <t>The use of a geotextile to prevent mixing of a subgrade soil and an aggregate subbase/base is appropriate for pavement structures constructed over soils with a California bearing ratio greater than 3.</t>
        </is>
      </c>
      <c r="F78" s="2" t="inlineStr">
        <is>
          <t>Nē</t>
        </is>
      </c>
      <c r="G78" s="2" t="n"/>
    </row>
    <row r="79">
      <c r="A79" s="2" t="inlineStr">
        <is>
          <t>150-5370-10H-P0192-015</t>
        </is>
      </c>
      <c r="B79" s="2" t="inlineStr">
        <is>
          <t>150-5370-10H.pdf</t>
        </is>
      </c>
      <c r="C79" s="2" t="n">
        <v>192</v>
      </c>
      <c r="D79" s="2" t="n">
        <v>15</v>
      </c>
      <c r="E79" s="2" t="inlineStr">
        <is>
          <t>Generally, on airport projects a Class 2 geotextile with a permittivity of 0.02 and apparent opening size of 0.60 mm will be sufficient.</t>
        </is>
      </c>
      <c r="F79" s="2" t="inlineStr">
        <is>
          <t>Nē</t>
        </is>
      </c>
      <c r="G79" s="2" t="n"/>
    </row>
    <row r="80">
      <c r="A80" s="2" t="inlineStr">
        <is>
          <t>150-5370-10H-P0192-016</t>
        </is>
      </c>
      <c r="B80" s="2" t="inlineStr">
        <is>
          <t>150-5370-10H.pdf</t>
        </is>
      </c>
      <c r="C80" s="2" t="n">
        <v>192</v>
      </c>
      <c r="D80" s="2" t="n">
        <v>16</v>
      </c>
      <c r="E80" s="2" t="inlineStr">
        <is>
          <t>See AASHTO M288 for additional notes regarding separation geotextiles.</t>
        </is>
      </c>
      <c r="F80" s="2" t="inlineStr">
        <is>
          <t>Nē</t>
        </is>
      </c>
      <c r="G80" s="2" t="n"/>
    </row>
    <row r="81">
      <c r="A81" s="2" t="inlineStr">
        <is>
          <t>150-5370-10H-P0192-017</t>
        </is>
      </c>
      <c r="B81" s="2" t="inlineStr">
        <is>
          <t>150-5370-10H.pdf</t>
        </is>
      </c>
      <c r="C81" s="2" t="n">
        <v>192</v>
      </c>
      <c r="D81" s="2" t="n">
        <v>17</v>
      </c>
      <c r="E81" s="2" t="inlineStr">
        <is>
          <t>CONSTRUCTION METHODS</t>
        </is>
      </c>
      <c r="F81" s="2" t="inlineStr">
        <is>
          <t>Nē</t>
        </is>
      </c>
      <c r="G81" s="2" t="n"/>
    </row>
    <row r="82">
      <c r="A82" s="2" t="inlineStr">
        <is>
          <t>150-5370-10H-P0192-018</t>
        </is>
      </c>
      <c r="B82" s="2" t="inlineStr">
        <is>
          <t>150-5370-10H.pdf</t>
        </is>
      </c>
      <c r="C82" s="2" t="n">
        <v>192</v>
      </c>
      <c r="D82" s="2" t="n">
        <v>18</v>
      </c>
      <c r="E82" s="2" t="inlineStr">
        <is>
          <t>210-3.1 Control strip.</t>
        </is>
      </c>
      <c r="F82" s="2" t="inlineStr">
        <is>
          <t>Nē</t>
        </is>
      </c>
      <c r="G82" s="2" t="n"/>
    </row>
    <row r="83">
      <c r="A83" s="2" t="inlineStr">
        <is>
          <t>150-5370-10H-P0192-019</t>
        </is>
      </c>
      <c r="B83" s="2" t="inlineStr">
        <is>
          <t>150-5370-10H.pdf</t>
        </is>
      </c>
      <c r="C83" s="2" t="n">
        <v>192</v>
      </c>
      <c r="D83" s="2" t="n">
        <v>19</v>
      </c>
      <c r="E83" s="2" t="inlineStr">
        <is>
          <t>The first half-day of construction shall be considered the control strip.</t>
        </is>
      </c>
      <c r="F83" s="2" t="inlineStr">
        <is>
          <t>Nē</t>
        </is>
      </c>
      <c r="G83" s="2" t="n"/>
    </row>
    <row r="84">
      <c r="A84" s="2" t="inlineStr">
        <is>
          <t>150-5370-10H-P0192-020</t>
        </is>
      </c>
      <c r="B84" s="2" t="inlineStr">
        <is>
          <t>150-5370-10H.pdf</t>
        </is>
      </c>
      <c r="C84" s="2" t="n">
        <v>192</v>
      </c>
      <c r="D84" s="2" t="n">
        <v>20</v>
      </c>
      <c r="E84" s="2" t="inlineStr">
        <is>
          <t>The Contractor shall demonstrate, in the presence of the RPR, that the materials, equipment, and construction processes meet the requirements of the specification.</t>
        </is>
      </c>
      <c r="F84" s="2" t="inlineStr">
        <is>
          <t>Nē</t>
        </is>
      </c>
      <c r="G84" s="2" t="n"/>
    </row>
    <row r="85">
      <c r="A85" s="2" t="inlineStr">
        <is>
          <t>150-5370-10H-P0192-021</t>
        </is>
      </c>
      <c r="B85" s="2" t="inlineStr">
        <is>
          <t>150-5370-10H.pdf</t>
        </is>
      </c>
      <c r="C85" s="2" t="n">
        <v>192</v>
      </c>
      <c r="D85" s="2" t="n">
        <v>21</v>
      </c>
      <c r="E85" s="2" t="inlineStr">
        <is>
          <t>The sequence and manner of rolling necessary to obtain specified density requirements shall be determined.</t>
        </is>
      </c>
      <c r="F85" s="2" t="inlineStr">
        <is>
          <t>Nē</t>
        </is>
      </c>
      <c r="G85" s="2" t="n"/>
    </row>
    <row r="86">
      <c r="A86" s="2" t="inlineStr">
        <is>
          <t>150-5370-10H-P0192-022</t>
        </is>
      </c>
      <c r="B86" s="2" t="inlineStr">
        <is>
          <t>150-5370-10H.pdf</t>
        </is>
      </c>
      <c r="C86" s="2" t="n">
        <v>192</v>
      </c>
      <c r="D86" s="2" t="n">
        <v>22</v>
      </c>
      <c r="E86" s="2" t="inlineStr">
        <is>
          <t>The maximum compacted thickness may be increased to a maximum of 12 inches (300 mm) upon the Contractor’s demonstration that approved equipment and operations will uniformly compact the lift to the specified density.</t>
        </is>
      </c>
      <c r="F86" s="2" t="inlineStr">
        <is>
          <t>Nē</t>
        </is>
      </c>
      <c r="G86" s="2" t="n"/>
    </row>
    <row r="87">
      <c r="A87" s="2" t="inlineStr">
        <is>
          <t>150-5370-10H-P0192-023</t>
        </is>
      </c>
      <c r="B87" s="2" t="inlineStr">
        <is>
          <t>150-5370-10H.pdf</t>
        </is>
      </c>
      <c r="C87" s="2" t="n">
        <v>192</v>
      </c>
      <c r="D87" s="2" t="n">
        <v>23</v>
      </c>
      <c r="E87" s="2" t="inlineStr">
        <is>
          <t>The RPR must witness this demonstration and approve the lift thickness prior to full production.</t>
        </is>
      </c>
      <c r="F87" s="2" t="inlineStr">
        <is>
          <t>Nē</t>
        </is>
      </c>
      <c r="G87" s="2" t="n"/>
    </row>
    <row r="88">
      <c r="A88" s="2" t="inlineStr">
        <is>
          <t>150-5370-10H-P0192-024</t>
        </is>
      </c>
      <c r="B88" s="2" t="inlineStr">
        <is>
          <t>150-5370-10H.pdf</t>
        </is>
      </c>
      <c r="C88" s="2" t="n">
        <v>192</v>
      </c>
      <c r="D88" s="2" t="n">
        <v>24</v>
      </c>
      <c r="E88" s="2" t="inlineStr">
        <is>
          <t>Control strips that do not meet specification requirements shall be reworked, re-compacted or removed and replaced at the Contractor’s expense.</t>
        </is>
      </c>
      <c r="F88" s="2" t="inlineStr">
        <is>
          <t>Nē</t>
        </is>
      </c>
      <c r="G88" s="2" t="n"/>
    </row>
    <row r="89">
      <c r="A89" s="2" t="inlineStr">
        <is>
          <t>150-5370-10H-P0192-025</t>
        </is>
      </c>
      <c r="B89" s="2" t="inlineStr">
        <is>
          <t>150-5370-10H.pdf</t>
        </is>
      </c>
      <c r="C89" s="2" t="n">
        <v>192</v>
      </c>
      <c r="D89" s="2" t="n">
        <v>25</v>
      </c>
      <c r="E89" s="2" t="inlineStr">
        <is>
          <t>Full operations shall not continue until the control strip has been accepted by the RPR.</t>
        </is>
      </c>
      <c r="F89" s="2" t="inlineStr">
        <is>
          <t>Nē</t>
        </is>
      </c>
      <c r="G89" s="2" t="n"/>
    </row>
    <row r="90">
      <c r="A90" s="2" t="inlineStr">
        <is>
          <t>150-5370-10H-P0192-026</t>
        </is>
      </c>
      <c r="B90" s="2" t="inlineStr">
        <is>
          <t>150-5370-10H.pdf</t>
        </is>
      </c>
      <c r="C90" s="2" t="n">
        <v>192</v>
      </c>
      <c r="D90" s="2" t="n">
        <v>26</v>
      </c>
      <c r="E90" s="2" t="inlineStr">
        <is>
          <t>The Contractor shall use the same equipment, materials, and construction methods for the remainder of construction, unless adjustments made by the Contractor are approved by the RPR.</t>
        </is>
      </c>
      <c r="F90" s="2" t="inlineStr">
        <is>
          <t>Nē</t>
        </is>
      </c>
      <c r="G90" s="2" t="n"/>
    </row>
    <row r="91">
      <c r="A91" s="2" t="inlineStr">
        <is>
          <t>150-5370-10H-P0192-027</t>
        </is>
      </c>
      <c r="B91" s="2" t="inlineStr">
        <is>
          <t>150-5370-10H.pdf</t>
        </is>
      </c>
      <c r="C91" s="2" t="n">
        <v>192</v>
      </c>
      <c r="D91" s="2" t="n">
        <v>27</v>
      </c>
      <c r="E91" s="2" t="inlineStr">
        <is>
          <t>210-3.2 Preparing underlying course.</t>
        </is>
      </c>
      <c r="F91" s="2" t="inlineStr">
        <is>
          <t>Nē</t>
        </is>
      </c>
      <c r="G91" s="2" t="n"/>
    </row>
    <row r="92">
      <c r="A92" s="2" t="inlineStr">
        <is>
          <t>150-5370-10H-P0192-028</t>
        </is>
      </c>
      <c r="B92" s="2" t="inlineStr">
        <is>
          <t>150-5370-10H.pdf</t>
        </is>
      </c>
      <c r="C92" s="2" t="n">
        <v>192</v>
      </c>
      <c r="D92" s="2" t="n">
        <v>28</v>
      </c>
      <c r="E92" s="2" t="inlineStr">
        <is>
          <t>The underlying course shall be checked and accepted by the RPR before placing and spreading operations begin.</t>
        </is>
      </c>
      <c r="F92" s="2" t="inlineStr">
        <is>
          <t>Nē</t>
        </is>
      </c>
      <c r="G92" s="2" t="n"/>
    </row>
    <row r="93">
      <c r="A93" s="2" t="inlineStr">
        <is>
          <t>150-5370-10H-P0192-029</t>
        </is>
      </c>
      <c r="B93" s="2" t="inlineStr">
        <is>
          <t>150-5370-10H.pdf</t>
        </is>
      </c>
      <c r="C93" s="2" t="n">
        <v>192</v>
      </c>
      <c r="D93" s="2" t="n">
        <v>29</v>
      </c>
      <c r="E93" s="2" t="inlineStr">
        <is>
          <t>Any ruts or soft, yielding places caused by improper drainage conditions, hauling, or any other cause, shall be corrected before the base course is placed.</t>
        </is>
      </c>
      <c r="F93" s="2" t="inlineStr">
        <is>
          <t>Nē</t>
        </is>
      </c>
      <c r="G93" s="2" t="n"/>
    </row>
    <row r="94">
      <c r="A94" s="2" t="inlineStr">
        <is>
          <t>150-5370-10H-P0192-030</t>
        </is>
      </c>
      <c r="B94" s="2" t="inlineStr">
        <is>
          <t>150-5370-10H.pdf</t>
        </is>
      </c>
      <c r="C94" s="2" t="n">
        <v>192</v>
      </c>
      <c r="D94" s="2" t="n">
        <v>30</v>
      </c>
      <c r="E94" s="2" t="inlineStr">
        <is>
          <t>To protect the underlying course and to ensure proper drainage, the spreading of the base shall begin along</t>
        </is>
      </c>
      <c r="F94" s="2" t="inlineStr">
        <is>
          <t>Nē</t>
        </is>
      </c>
      <c r="G94" s="2" t="n"/>
    </row>
    <row r="95">
      <c r="A95" s="2" t="inlineStr">
        <is>
          <t>150-5370-10H-P0192-031</t>
        </is>
      </c>
      <c r="B95" s="2" t="inlineStr">
        <is>
          <t>150-5370-10H.pdf</t>
        </is>
      </c>
      <c r="C95" s="2" t="n">
        <v>192</v>
      </c>
      <c r="D95" s="2" t="n">
        <v>31</v>
      </c>
      <c r="E95" s="2" t="inlineStr">
        <is>
          <t>Item P-210 Caliche Base Course 184</t>
        </is>
      </c>
      <c r="F95" s="2" t="inlineStr">
        <is>
          <t>Nē</t>
        </is>
      </c>
      <c r="G95" s="2" t="n"/>
    </row>
    <row r="96">
      <c r="A96" s="2" t="inlineStr">
        <is>
          <t>150-5370-10H-P0216-001</t>
        </is>
      </c>
      <c r="B96" s="2" t="inlineStr">
        <is>
          <t>150-5370-10H.pdf</t>
        </is>
      </c>
      <c r="C96" s="2" t="n">
        <v>216</v>
      </c>
      <c r="D96" s="2" t="n">
        <v>1</v>
      </c>
      <c r="E96" s="2" t="inlineStr">
        <is>
          <t>12/21/2018 AC 150/5370-10H</t>
        </is>
      </c>
      <c r="F96" s="2" t="inlineStr">
        <is>
          <t>Nē</t>
        </is>
      </c>
      <c r="G96" s="2" t="n"/>
    </row>
    <row r="97">
      <c r="A97" s="2" t="inlineStr">
        <is>
          <t>150-5370-10H-P0216-002</t>
        </is>
      </c>
      <c r="B97" s="2" t="inlineStr">
        <is>
          <t>150-5370-10H.pdf</t>
        </is>
      </c>
      <c r="C97" s="2" t="n">
        <v>216</v>
      </c>
      <c r="D97" s="2" t="n">
        <v>2</v>
      </c>
      <c r="E97" s="2" t="inlineStr">
        <is>
          <t>Gradation of Mixture</t>
        </is>
      </c>
      <c r="F97" s="2" t="inlineStr">
        <is>
          <t>Nē</t>
        </is>
      </c>
      <c r="G97" s="2" t="n"/>
    </row>
    <row r="98">
      <c r="A98" s="2" t="inlineStr">
        <is>
          <t>150-5370-10H-P0216-003</t>
        </is>
      </c>
      <c r="B98" s="2" t="inlineStr">
        <is>
          <t>150-5370-10H.pdf</t>
        </is>
      </c>
      <c r="C98" s="2" t="n">
        <v>216</v>
      </c>
      <c r="D98" s="2" t="n">
        <v>3</v>
      </c>
      <c r="E98" s="2" t="inlineStr">
        <is>
          <t>Percentage by weight passing sieves Sieve Designation (square openings) [ * ] 2 inch (50 mm) * 1 inch (25.0 mm) * 3/4 inch (19.0 mm) * No.</t>
        </is>
      </c>
      <c r="F98" s="2" t="inlineStr">
        <is>
          <t>Nē</t>
        </is>
      </c>
      <c r="G98" s="2" t="n"/>
    </row>
    <row r="99">
      <c r="A99" s="2" t="inlineStr">
        <is>
          <t>150-5370-10H-P0216-004</t>
        </is>
      </c>
      <c r="B99" s="2" t="inlineStr">
        <is>
          <t>150-5370-10H.pdf</t>
        </is>
      </c>
      <c r="C99" s="2" t="n">
        <v>216</v>
      </c>
      <c r="D99" s="2" t="n">
        <v>4</v>
      </c>
      <c r="E99" s="2" t="inlineStr">
        <is>
          <t>4 (4.75 mm) * No.</t>
        </is>
      </c>
      <c r="F99" s="2" t="inlineStr">
        <is>
          <t>Nē</t>
        </is>
      </c>
      <c r="G99" s="2" t="n"/>
    </row>
    <row r="100">
      <c r="A100" s="2" t="inlineStr">
        <is>
          <t>150-5370-10H-P0216-005</t>
        </is>
      </c>
      <c r="B100" s="2" t="inlineStr">
        <is>
          <t>150-5370-10H.pdf</t>
        </is>
      </c>
      <c r="C100" s="2" t="n">
        <v>216</v>
      </c>
      <c r="D100" s="2" t="n">
        <v>5</v>
      </c>
      <c r="E100" s="2" t="inlineStr">
        <is>
          <t>10 (2.00 mm) * No.</t>
        </is>
      </c>
      <c r="F100" s="2" t="inlineStr">
        <is>
          <t>Nē</t>
        </is>
      </c>
      <c r="G100" s="2" t="n"/>
    </row>
    <row r="101">
      <c r="A101" s="2" t="inlineStr">
        <is>
          <t>150-5370-10H-P0216-006</t>
        </is>
      </c>
      <c r="B101" s="2" t="inlineStr">
        <is>
          <t>150-5370-10H.pdf</t>
        </is>
      </c>
      <c r="C101" s="2" t="n">
        <v>216</v>
      </c>
      <c r="D101" s="2" t="n">
        <v>6</v>
      </c>
      <c r="E101" s="2" t="inlineStr">
        <is>
          <t>20 (850 µm) * No.</t>
        </is>
      </c>
      <c r="F101" s="2" t="inlineStr">
        <is>
          <t>Nē</t>
        </is>
      </c>
      <c r="G101" s="2" t="n"/>
    </row>
    <row r="102">
      <c r="A102" s="2" t="inlineStr">
        <is>
          <t>150-5370-10H-P0216-007</t>
        </is>
      </c>
      <c r="B102" s="2" t="inlineStr">
        <is>
          <t>150-5370-10H.pdf</t>
        </is>
      </c>
      <c r="C102" s="2" t="n">
        <v>216</v>
      </c>
      <c r="D102" s="2" t="n">
        <v>7</v>
      </c>
      <c r="E102" s="2" t="inlineStr">
        <is>
          <t>40 (425 µm) * No.</t>
        </is>
      </c>
      <c r="F102" s="2" t="inlineStr">
        <is>
          <t>Nē</t>
        </is>
      </c>
      <c r="G102" s="2" t="n"/>
    </row>
    <row r="103">
      <c r="A103" s="2" t="inlineStr">
        <is>
          <t>150-5370-10H-P0216-008</t>
        </is>
      </c>
      <c r="B103" s="2" t="inlineStr">
        <is>
          <t>150-5370-10H.pdf</t>
        </is>
      </c>
      <c r="C103" s="2" t="n">
        <v>216</v>
      </c>
      <c r="D103" s="2" t="n">
        <v>8</v>
      </c>
      <c r="E103" s="2" t="inlineStr">
        <is>
          <t>200 (75 µm) *</t>
        </is>
      </c>
      <c r="F103" s="2" t="inlineStr">
        <is>
          <t>Nē</t>
        </is>
      </c>
      <c r="G103" s="2" t="n"/>
    </row>
    <row r="104">
      <c r="A104" s="2" t="inlineStr">
        <is>
          <t>150-5370-10H-P0216-009</t>
        </is>
      </c>
      <c r="B104" s="2" t="inlineStr">
        <is>
          <t>150-5370-10H.pdf</t>
        </is>
      </c>
      <c r="C104" s="2" t="n">
        <v>216</v>
      </c>
      <c r="D104" s="2" t="n">
        <v>9</v>
      </c>
      <c r="E104" s="2" t="inlineStr">
        <is>
          <t>The Engineer shall select the gradation from the following table to populate the above table titled “Gradation of Mixture.”</t>
        </is>
      </c>
      <c r="F104" s="2" t="inlineStr">
        <is>
          <t>Nē</t>
        </is>
      </c>
      <c r="G104" s="2" t="n"/>
    </row>
    <row r="105">
      <c r="A105" s="2" t="inlineStr">
        <is>
          <t>150-5370-10H-P0216-010</t>
        </is>
      </c>
      <c r="B105" s="2" t="inlineStr">
        <is>
          <t>150-5370-10H.pdf</t>
        </is>
      </c>
      <c r="C105" s="2" t="n">
        <v>216</v>
      </c>
      <c r="D105" s="2" t="n">
        <v>10</v>
      </c>
      <c r="E105" s="2" t="inlineStr">
        <is>
          <t>Percentage by weight passing Sieve Designation (square sieves openings)</t>
        </is>
      </c>
      <c r="F105" s="2" t="inlineStr">
        <is>
          <t>Nē</t>
        </is>
      </c>
      <c r="G105" s="2" t="n"/>
    </row>
    <row r="106">
      <c r="A106" s="2" t="inlineStr">
        <is>
          <t>150-5370-10H-P0216-011</t>
        </is>
      </c>
      <c r="B106" s="2" t="inlineStr">
        <is>
          <t>150-5370-10H.pdf</t>
        </is>
      </c>
      <c r="C106" s="2" t="n">
        <v>216</v>
      </c>
      <c r="D106" s="2" t="n">
        <v>11</v>
      </c>
      <c r="E106" s="2" t="inlineStr">
        <is>
          <t>A B C</t>
        </is>
      </c>
      <c r="F106" s="2" t="inlineStr">
        <is>
          <t>Nē</t>
        </is>
      </c>
      <c r="G106" s="2" t="n"/>
    </row>
    <row r="107">
      <c r="A107" s="2" t="inlineStr">
        <is>
          <t>150-5370-10H-P0216-012</t>
        </is>
      </c>
      <c r="B107" s="2" t="inlineStr">
        <is>
          <t>150-5370-10H.pdf</t>
        </is>
      </c>
      <c r="C107" s="2" t="n">
        <v>216</v>
      </c>
      <c r="D107" s="2" t="n">
        <v>12</v>
      </c>
      <c r="E107" s="2" t="inlineStr">
        <is>
          <t>2 inch (50 mm) 100 1 inch (25.0 mm) 100 100 70-95 3/4 inch (19.0 mm) 70-100 No.</t>
        </is>
      </c>
      <c r="F107" s="2" t="inlineStr">
        <is>
          <t>Nē</t>
        </is>
      </c>
      <c r="G107" s="2" t="n"/>
    </row>
    <row r="108">
      <c r="A108" s="2" t="inlineStr">
        <is>
          <t>150-5370-10H-P0216-013</t>
        </is>
      </c>
      <c r="B108" s="2" t="inlineStr">
        <is>
          <t>150-5370-10H.pdf</t>
        </is>
      </c>
      <c r="C108" s="2" t="n">
        <v>216</v>
      </c>
      <c r="D108" s="2" t="n">
        <v>13</v>
      </c>
      <c r="E108" s="2" t="inlineStr">
        <is>
          <t>4 (4.75 mm) 40-70 No.</t>
        </is>
      </c>
      <c r="F108" s="2" t="inlineStr">
        <is>
          <t>Nē</t>
        </is>
      </c>
      <c r="G108" s="2" t="n"/>
    </row>
    <row r="109">
      <c r="A109" s="2" t="inlineStr">
        <is>
          <t>150-5370-10H-P0216-014</t>
        </is>
      </c>
      <c r="B109" s="2" t="inlineStr">
        <is>
          <t>150-5370-10H.pdf</t>
        </is>
      </c>
      <c r="C109" s="2" t="n">
        <v>216</v>
      </c>
      <c r="D109" s="2" t="n">
        <v>14</v>
      </c>
      <c r="E109" s="2" t="inlineStr">
        <is>
          <t>10 (2.00 mm) 60-100 40-70 32-60 No.</t>
        </is>
      </c>
      <c r="F109" s="2" t="inlineStr">
        <is>
          <t>Nē</t>
        </is>
      </c>
      <c r="G109" s="2" t="n"/>
    </row>
    <row r="110">
      <c r="A110" s="2" t="inlineStr">
        <is>
          <t>150-5370-10H-P0216-015</t>
        </is>
      </c>
      <c r="B110" s="2" t="inlineStr">
        <is>
          <t>150-5370-10H.pdf</t>
        </is>
      </c>
      <c r="C110" s="2" t="n">
        <v>216</v>
      </c>
      <c r="D110" s="2" t="n">
        <v>15</v>
      </c>
      <c r="E110" s="2" t="inlineStr">
        <is>
          <t>20 (850 µm) 50-90 No.</t>
        </is>
      </c>
      <c r="F110" s="2" t="inlineStr">
        <is>
          <t>Nē</t>
        </is>
      </c>
      <c r="G110" s="2" t="n"/>
    </row>
    <row r="111">
      <c r="A111" s="2" t="inlineStr">
        <is>
          <t>150-5370-10H-P0216-016</t>
        </is>
      </c>
      <c r="B111" s="2" t="inlineStr">
        <is>
          <t>150-5370-10H.pdf</t>
        </is>
      </c>
      <c r="C111" s="2" t="n">
        <v>216</v>
      </c>
      <c r="D111" s="2" t="n">
        <v>16</v>
      </c>
      <c r="E111" s="2" t="inlineStr">
        <is>
          <t>40 (425 µm) 40-75 20-45 20-40 No.</t>
        </is>
      </c>
      <c r="F111" s="2" t="inlineStr">
        <is>
          <t>Nē</t>
        </is>
      </c>
      <c r="G111" s="2" t="n"/>
    </row>
    <row r="112">
      <c r="A112" s="2" t="inlineStr">
        <is>
          <t>150-5370-10H-P0216-017</t>
        </is>
      </c>
      <c r="B112" s="2" t="inlineStr">
        <is>
          <t>150-5370-10H.pdf</t>
        </is>
      </c>
      <c r="C112" s="2" t="n">
        <v>216</v>
      </c>
      <c r="D112" s="2" t="n">
        <v>17</v>
      </c>
      <c r="E112" s="2" t="inlineStr">
        <is>
          <t>200 (75 µm) 12-30 10-20 10-20</t>
        </is>
      </c>
      <c r="F112" s="2" t="inlineStr">
        <is>
          <t>Nē</t>
        </is>
      </c>
      <c r="G112" s="2" t="n"/>
    </row>
    <row r="113">
      <c r="A113" s="2" t="inlineStr">
        <is>
          <t>150-5370-10H-P0216-018</t>
        </is>
      </c>
      <c r="B113" s="2" t="inlineStr">
        <is>
          <t>150-5370-10H.pdf</t>
        </is>
      </c>
      <c r="C113" s="2" t="n">
        <v>216</v>
      </c>
      <c r="D113" s="2" t="n">
        <v>18</v>
      </c>
      <c r="E113" s="2" t="inlineStr">
        <is>
          <t>The fraction passing the No.</t>
        </is>
      </c>
      <c r="F113" s="2" t="inlineStr">
        <is>
          <t>Nē</t>
        </is>
      </c>
      <c r="G113" s="2" t="n"/>
    </row>
    <row r="114">
      <c r="A114" s="2" t="inlineStr">
        <is>
          <t>150-5370-10H-P0216-019</t>
        </is>
      </c>
      <c r="B114" s="2" t="inlineStr">
        <is>
          <t>150-5370-10H.pdf</t>
        </is>
      </c>
      <c r="C114" s="2" t="n">
        <v>216</v>
      </c>
      <c r="D114" s="2" t="n">
        <v>19</v>
      </c>
      <c r="E114" s="2" t="inlineStr">
        <is>
          <t>40 (425 µm) mesh sieve shall have a liquid limit not greater than 30 and a plasticity index not greater than eight (8) when tested per ASTM D4318.</t>
        </is>
      </c>
      <c r="F114" s="2" t="inlineStr">
        <is>
          <t>Nē</t>
        </is>
      </c>
      <c r="G114" s="2" t="n"/>
    </row>
    <row r="115">
      <c r="A115" s="2" t="inlineStr">
        <is>
          <t>150-5370-10H-P0216-020</t>
        </is>
      </c>
      <c r="B115" s="2" t="inlineStr">
        <is>
          <t>150-5370-10H.pdf</t>
        </is>
      </c>
      <c r="C115" s="2" t="n">
        <v>216</v>
      </c>
      <c r="D115" s="2" t="n">
        <v>20</v>
      </c>
      <c r="E115" s="2" t="inlineStr">
        <is>
          <t>217-2.2 Stabilizer aggregate.</t>
        </is>
      </c>
      <c r="F115" s="2" t="inlineStr">
        <is>
          <t>Nē</t>
        </is>
      </c>
      <c r="G115" s="2" t="n"/>
    </row>
    <row r="116">
      <c r="A116" s="2" t="inlineStr">
        <is>
          <t>150-5370-10H-P0216-021</t>
        </is>
      </c>
      <c r="B116" s="2" t="inlineStr">
        <is>
          <t>150-5370-10H.pdf</t>
        </is>
      </c>
      <c r="C116" s="2" t="n">
        <v>216</v>
      </c>
      <c r="D116" s="2" t="n">
        <v>21</v>
      </c>
      <c r="E116" s="2" t="inlineStr">
        <is>
          <t>Stabilizer aggregate conforming to the gradation(s) specified in the table below, when tested per ASTM C136, shall be placed upon the existing soil or base course in the specified quantity per square yard (square meter).</t>
        </is>
      </c>
      <c r="F116" s="2" t="inlineStr">
        <is>
          <t>Nē</t>
        </is>
      </c>
      <c r="G116" s="2" t="n"/>
    </row>
    <row r="117">
      <c r="A117" s="2" t="inlineStr">
        <is>
          <t>150-5370-10H-P0216-022</t>
        </is>
      </c>
      <c r="B117" s="2" t="inlineStr">
        <is>
          <t>150-5370-10H.pdf</t>
        </is>
      </c>
      <c r="C117" s="2" t="n">
        <v>216</v>
      </c>
      <c r="D117" s="2" t="n">
        <v>22</v>
      </c>
      <c r="E117" s="2" t="inlineStr">
        <is>
          <t>The aggregate shall be uniformly blended with the soil or base course material to the depth required or as shown on the plans.</t>
        </is>
      </c>
      <c r="F117" s="2" t="inlineStr">
        <is>
          <t>Nē</t>
        </is>
      </c>
      <c r="G117" s="2" t="n"/>
    </row>
    <row r="118">
      <c r="A118" s="2" t="inlineStr">
        <is>
          <t>150-5370-10H-P0216-023</t>
        </is>
      </c>
      <c r="B118" s="2" t="inlineStr">
        <is>
          <t>150-5370-10H.pdf</t>
        </is>
      </c>
      <c r="C118" s="2" t="n">
        <v>216</v>
      </c>
      <c r="D118" s="2" t="n">
        <v>23</v>
      </c>
      <c r="E118" s="2" t="inlineStr">
        <is>
          <t>The aggregate shall consist of crushed stone, crushed or uncrushed gravel, or crushed slag, and it shall have a percent of wear not more than 60 at 500 revolutions as determined by ASTM C131.</t>
        </is>
      </c>
      <c r="F118" s="2" t="inlineStr">
        <is>
          <t>Nē</t>
        </is>
      </c>
      <c r="G118" s="2" t="n"/>
    </row>
    <row r="119">
      <c r="A119" s="2" t="inlineStr">
        <is>
          <t>150-5370-10H-P0216-024</t>
        </is>
      </c>
      <c r="B119" s="2" t="inlineStr">
        <is>
          <t>150-5370-10H.pdf</t>
        </is>
      </c>
      <c r="C119" s="2" t="n">
        <v>216</v>
      </c>
      <c r="D119" s="2" t="n">
        <v>24</v>
      </c>
      <c r="E119" s="2" t="inlineStr">
        <is>
          <t>The aggregate shall be free from soft, thin, elongated, or laminated pieces, disintegrated material, or other deleterious substances.</t>
        </is>
      </c>
      <c r="F119" s="2" t="inlineStr">
        <is>
          <t>Nē</t>
        </is>
      </c>
      <c r="G119" s="2" t="n"/>
    </row>
    <row r="120">
      <c r="A120" s="2" t="inlineStr">
        <is>
          <t>150-5370-10H-P0216-025</t>
        </is>
      </c>
      <c r="B120" s="2" t="inlineStr">
        <is>
          <t>150-5370-10H.pdf</t>
        </is>
      </c>
      <c r="C120" s="2" t="n">
        <v>216</v>
      </c>
      <c r="D120" s="2" t="n">
        <v>25</v>
      </c>
      <c r="E120" s="2" t="inlineStr">
        <is>
          <t>Item P-217 Aggregate-Turf Runway/Taxiway 208</t>
        </is>
      </c>
      <c r="F120" s="2" t="inlineStr">
        <is>
          <t>Nē</t>
        </is>
      </c>
      <c r="G120" s="2" t="n"/>
    </row>
    <row r="121">
      <c r="A121" s="2" t="inlineStr">
        <is>
          <t>150-5370-10H-P0321-001</t>
        </is>
      </c>
      <c r="B121" s="2" t="inlineStr">
        <is>
          <t>150-5370-10H.pdf</t>
        </is>
      </c>
      <c r="C121" s="2" t="n">
        <v>321</v>
      </c>
      <c r="D121" s="2" t="n">
        <v>1</v>
      </c>
      <c r="E121" s="2" t="inlineStr">
        <is>
          <t>12/21/2018 AC 150/5370-10H</t>
        </is>
      </c>
      <c r="F121" s="2" t="inlineStr">
        <is>
          <t>Nē</t>
        </is>
      </c>
      <c r="G121" s="2" t="n"/>
    </row>
    <row r="122">
      <c r="A122" s="2" t="inlineStr">
        <is>
          <t>150-5370-10H-P0321-002</t>
        </is>
      </c>
      <c r="B122" s="2" t="inlineStr">
        <is>
          <t>150-5370-10H.pdf</t>
        </is>
      </c>
      <c r="C122" s="2" t="n">
        <v>321</v>
      </c>
      <c r="D122" s="2" t="n">
        <v>2</v>
      </c>
      <c r="E122" s="2" t="inlineStr">
        <is>
          <t>Measurements will be taken at appropriate gradelines (as a minimum at center and edges of paving lane) and longitudinal spacing as shown on cross-sections and plans.</t>
        </is>
      </c>
      <c r="F122" s="2" t="inlineStr">
        <is>
          <t>Nē</t>
        </is>
      </c>
      <c r="G122" s="2" t="n"/>
    </row>
    <row r="123">
      <c r="A123" s="2" t="inlineStr">
        <is>
          <t>150-5370-10H-P0321-003</t>
        </is>
      </c>
      <c r="B123" s="2" t="inlineStr">
        <is>
          <t>150-5370-10H.pdf</t>
        </is>
      </c>
      <c r="C123" s="2" t="n">
        <v>321</v>
      </c>
      <c r="D123" s="2" t="n">
        <v>3</v>
      </c>
      <c r="E123" s="2" t="inlineStr">
        <is>
          <t>The final surface of the pavement will not vary from the gradeline elevations and cross-sections shown on the plans by more than 1/2 inch (12 mm) vertically [ and 0.1 feet (30 mm) laterally ].</t>
        </is>
      </c>
      <c r="F123" s="2" t="inlineStr">
        <is>
          <t>Nē</t>
        </is>
      </c>
      <c r="G123" s="2" t="n"/>
    </row>
    <row r="124">
      <c r="A124" s="2" t="inlineStr">
        <is>
          <t>150-5370-10H-P0321-004</t>
        </is>
      </c>
      <c r="B124" s="2" t="inlineStr">
        <is>
          <t>150-5370-10H.pdf</t>
        </is>
      </c>
      <c r="C124" s="2" t="n">
        <v>321</v>
      </c>
      <c r="D124" s="2" t="n">
        <v>4</v>
      </c>
      <c r="E124" s="2" t="inlineStr">
        <is>
          <t>The documentation will be provided by the Contractor to the RPR [ within 24 hours ] [ by the end of the following working day ].</t>
        </is>
      </c>
      <c r="F124" s="2" t="inlineStr">
        <is>
          <t>Jā</t>
        </is>
      </c>
      <c r="G124" s="2" t="n"/>
    </row>
    <row r="125">
      <c r="A125" s="2" t="inlineStr">
        <is>
          <t>150-5370-10H-P0321-005</t>
        </is>
      </c>
      <c r="B125" s="2" t="inlineStr">
        <is>
          <t>150-5370-10H.pdf</t>
        </is>
      </c>
      <c r="C125" s="2" t="n">
        <v>321</v>
      </c>
      <c r="D125" s="2" t="n">
        <v>5</v>
      </c>
      <c r="E125" s="2" t="inlineStr">
        <is>
          <t>Areas with humps or depressions that exceed grade or smoothness criteria and that retain water on the surface must be ground off provided the course thickness after grinding is not more than 1/2 inch (12 mm) less than the thickness specified on the plans.</t>
        </is>
      </c>
      <c r="F125" s="2" t="inlineStr">
        <is>
          <t>Nē</t>
        </is>
      </c>
      <c r="G125" s="2" t="n"/>
    </row>
    <row r="126">
      <c r="A126" s="2" t="inlineStr">
        <is>
          <t>150-5370-10H-P0321-006</t>
        </is>
      </c>
      <c r="B126" s="2" t="inlineStr">
        <is>
          <t>150-5370-10H.pdf</t>
        </is>
      </c>
      <c r="C126" s="2" t="n">
        <v>321</v>
      </c>
      <c r="D126" s="2" t="n">
        <v>6</v>
      </c>
      <c r="E126" s="2" t="inlineStr">
        <is>
          <t>Grinding shall be in accordance with paragraph 403-4.15.</t>
        </is>
      </c>
      <c r="F126" s="2" t="inlineStr">
        <is>
          <t>Nē</t>
        </is>
      </c>
      <c r="G126" s="2" t="n"/>
    </row>
    <row r="127">
      <c r="A127" s="2" t="inlineStr">
        <is>
          <t>150-5370-10H-P0321-007</t>
        </is>
      </c>
      <c r="B127" s="2" t="inlineStr">
        <is>
          <t>150-5370-10H.pdf</t>
        </is>
      </c>
      <c r="C127" s="2" t="n">
        <v>321</v>
      </c>
      <c r="D127" s="2" t="n">
        <v>7</v>
      </c>
      <c r="E127" s="2" t="inlineStr">
        <is>
          <t>The Contractor shall repair low areas or areas that cannot be corrected by grinding by removal of deficient areas to the depth of the final course plus ½ inch and replacing with new material.</t>
        </is>
      </c>
      <c r="F127" s="2" t="inlineStr">
        <is>
          <t>Nē</t>
        </is>
      </c>
      <c r="G127" s="2" t="n"/>
    </row>
    <row r="128">
      <c r="A128" s="2" t="inlineStr">
        <is>
          <t>150-5370-10H-P0321-008</t>
        </is>
      </c>
      <c r="B128" s="2" t="inlineStr">
        <is>
          <t>150-5370-10H.pdf</t>
        </is>
      </c>
      <c r="C128" s="2" t="n">
        <v>321</v>
      </c>
      <c r="D128" s="2" t="n">
        <v>8</v>
      </c>
      <c r="E128" s="2" t="inlineStr">
        <is>
          <t>Skin patching is not allowed.</t>
        </is>
      </c>
      <c r="F128" s="2" t="inlineStr">
        <is>
          <t>Nē</t>
        </is>
      </c>
      <c r="G128" s="2" t="n"/>
    </row>
    <row r="129">
      <c r="A129" s="2" t="inlineStr">
        <is>
          <t>150-5370-10H-P0321-009</t>
        </is>
      </c>
      <c r="B129" s="2" t="inlineStr">
        <is>
          <t>150-5370-10H.pdf</t>
        </is>
      </c>
      <c r="C129" s="2" t="n">
        <v>321</v>
      </c>
      <c r="D129" s="2" t="n">
        <v>9</v>
      </c>
      <c r="E129" s="2" t="inlineStr">
        <is>
          <t>403-5.4 Sampling.</t>
        </is>
      </c>
      <c r="F129" s="2" t="inlineStr">
        <is>
          <t>Nē</t>
        </is>
      </c>
      <c r="G129" s="2" t="n"/>
    </row>
    <row r="130">
      <c r="A130" s="2" t="inlineStr">
        <is>
          <t>150-5370-10H-P0321-010</t>
        </is>
      </c>
      <c r="B130" s="2" t="inlineStr">
        <is>
          <t>150-5370-10H.pdf</t>
        </is>
      </c>
      <c r="C130" s="2" t="n">
        <v>321</v>
      </c>
      <c r="D130" s="2" t="n">
        <v>10</v>
      </c>
      <c r="E130" s="2" t="inlineStr">
        <is>
          <t>When directed by the RPR, the Contractor shall sample and test any material that appears inconsistent with similar material being sampled, unless such material is voluntarily removed and replaced or deficiencies corrected by the Contractor.</t>
        </is>
      </c>
      <c r="F130" s="2" t="inlineStr">
        <is>
          <t>Nē</t>
        </is>
      </c>
      <c r="G130" s="2" t="n"/>
    </row>
    <row r="131">
      <c r="A131" s="2" t="inlineStr">
        <is>
          <t>150-5370-10H-P0321-011</t>
        </is>
      </c>
      <c r="B131" s="2" t="inlineStr">
        <is>
          <t>150-5370-10H.pdf</t>
        </is>
      </c>
      <c r="C131" s="2" t="n">
        <v>321</v>
      </c>
      <c r="D131" s="2" t="n">
        <v>11</v>
      </c>
      <c r="E131" s="2" t="inlineStr">
        <is>
          <t>All sampling shall be in accordance with standard procedures specified.</t>
        </is>
      </c>
      <c r="F131" s="2" t="inlineStr">
        <is>
          <t>Nē</t>
        </is>
      </c>
      <c r="G131" s="2" t="n"/>
    </row>
    <row r="132">
      <c r="A132" s="2" t="inlineStr">
        <is>
          <t>150-5370-10H-P0321-012</t>
        </is>
      </c>
      <c r="B132" s="2" t="inlineStr">
        <is>
          <t>150-5370-10H.pdf</t>
        </is>
      </c>
      <c r="C132" s="2" t="n">
        <v>321</v>
      </c>
      <c r="D132" s="2" t="n">
        <v>12</v>
      </c>
      <c r="E132" s="2" t="inlineStr">
        <is>
          <t>403-5.5 Control charts.</t>
        </is>
      </c>
      <c r="F132" s="2" t="inlineStr">
        <is>
          <t>Nē</t>
        </is>
      </c>
      <c r="G132" s="2" t="n"/>
    </row>
    <row r="133">
      <c r="A133" s="2" t="inlineStr">
        <is>
          <t>150-5370-10H-P0321-013</t>
        </is>
      </c>
      <c r="B133" s="2" t="inlineStr">
        <is>
          <t>150-5370-10H.pdf</t>
        </is>
      </c>
      <c r="C133" s="2" t="n">
        <v>321</v>
      </c>
      <c r="D133" s="2" t="n">
        <v>13</v>
      </c>
      <c r="E133" s="2" t="inlineStr">
        <is>
          <t>The Contractor shall maintain linear control charts both for individual measurements and range (i.e., difference between highest and lowest measurements) for aggregate gradation, asphalt content, and VMA.</t>
        </is>
      </c>
      <c r="F133" s="2" t="inlineStr">
        <is>
          <t>Nē</t>
        </is>
      </c>
      <c r="G133" s="2" t="n"/>
    </row>
    <row r="134">
      <c r="A134" s="2" t="inlineStr">
        <is>
          <t>150-5370-10H-P0321-014</t>
        </is>
      </c>
      <c r="B134" s="2" t="inlineStr">
        <is>
          <t>150-5370-10H.pdf</t>
        </is>
      </c>
      <c r="C134" s="2" t="n">
        <v>321</v>
      </c>
      <c r="D134" s="2" t="n">
        <v>14</v>
      </c>
      <c r="E134" s="2" t="inlineStr">
        <is>
          <t>The VMA for each day shall be calculated and monitored by the QC laboratory.</t>
        </is>
      </c>
      <c r="F134" s="2" t="inlineStr">
        <is>
          <t>Nē</t>
        </is>
      </c>
      <c r="G134" s="2" t="n"/>
    </row>
    <row r="135">
      <c r="A135" s="2" t="inlineStr">
        <is>
          <t>150-5370-10H-P0321-015</t>
        </is>
      </c>
      <c r="B135" s="2" t="inlineStr">
        <is>
          <t>150-5370-10H.pdf</t>
        </is>
      </c>
      <c r="C135" s="2" t="n">
        <v>321</v>
      </c>
      <c r="D135" s="2" t="n">
        <v>15</v>
      </c>
      <c r="E135" s="2" t="inlineStr">
        <is>
          <t>Control charts shall be posted in a location satisfactory to the RPR and kept current.</t>
        </is>
      </c>
      <c r="F135" s="2" t="inlineStr">
        <is>
          <t>?</t>
        </is>
      </c>
      <c r="G135" s="2" t="n"/>
    </row>
    <row r="136">
      <c r="A136" s="2" t="inlineStr">
        <is>
          <t>150-5370-10H-P0321-016</t>
        </is>
      </c>
      <c r="B136" s="2" t="inlineStr">
        <is>
          <t>150-5370-10H.pdf</t>
        </is>
      </c>
      <c r="C136" s="2" t="n">
        <v>321</v>
      </c>
      <c r="D136" s="2" t="n">
        <v>16</v>
      </c>
      <c r="E136" s="2" t="inlineStr">
        <is>
          <t>As a minimum, the control charts shall identify the project number, the contract item number, the test number, each test parameter, the Action and Suspension Limits applicable to each test parameter, and the Contractor’s test results.</t>
        </is>
      </c>
      <c r="F136" s="2" t="inlineStr">
        <is>
          <t>Nē</t>
        </is>
      </c>
      <c r="G136" s="2" t="n"/>
    </row>
    <row r="137">
      <c r="A137" s="2" t="inlineStr">
        <is>
          <t>150-5370-10H-P0321-017</t>
        </is>
      </c>
      <c r="B137" s="2" t="inlineStr">
        <is>
          <t>150-5370-10H.pdf</t>
        </is>
      </c>
      <c r="C137" s="2" t="n">
        <v>321</v>
      </c>
      <c r="D137" s="2" t="n">
        <v>17</v>
      </c>
      <c r="E137" s="2" t="inlineStr">
        <is>
          <t>The Contractor shall use the control charts as part of a process control system for identifying potential problems and assignable causes before they occur.</t>
        </is>
      </c>
      <c r="F137" s="2" t="inlineStr">
        <is>
          <t>Nē</t>
        </is>
      </c>
      <c r="G137" s="2" t="n"/>
    </row>
    <row r="138">
      <c r="A138" s="2" t="inlineStr">
        <is>
          <t>150-5370-10H-P0321-018</t>
        </is>
      </c>
      <c r="B138" s="2" t="inlineStr">
        <is>
          <t>150-5370-10H.pdf</t>
        </is>
      </c>
      <c r="C138" s="2" t="n">
        <v>321</v>
      </c>
      <c r="D138" s="2" t="n">
        <v>18</v>
      </c>
      <c r="E138" s="2" t="inlineStr">
        <is>
          <t>If the Contractor’s projected data during production indicates a problem and the Contractor is not taking satisfactory corrective action, the RPR may suspend production or acceptance of the material.</t>
        </is>
      </c>
      <c r="F138" s="2" t="inlineStr">
        <is>
          <t>Nē</t>
        </is>
      </c>
      <c r="G138" s="2" t="n"/>
    </row>
    <row r="139">
      <c r="A139" s="2" t="inlineStr">
        <is>
          <t>150-5370-10H-P0321-019</t>
        </is>
      </c>
      <c r="B139" s="2" t="inlineStr">
        <is>
          <t>150-5370-10H.pdf</t>
        </is>
      </c>
      <c r="C139" s="2" t="n">
        <v>321</v>
      </c>
      <c r="D139" s="2" t="n">
        <v>19</v>
      </c>
      <c r="E139" s="2" t="inlineStr">
        <is>
          <t>a. Individual measurements.</t>
        </is>
      </c>
      <c r="F139" s="2" t="inlineStr">
        <is>
          <t>Nē</t>
        </is>
      </c>
      <c r="G139" s="2" t="n"/>
    </row>
    <row r="140">
      <c r="A140" s="2" t="inlineStr">
        <is>
          <t>150-5370-10H-P0321-020</t>
        </is>
      </c>
      <c r="B140" s="2" t="inlineStr">
        <is>
          <t>150-5370-10H.pdf</t>
        </is>
      </c>
      <c r="C140" s="2" t="n">
        <v>321</v>
      </c>
      <c r="D140" s="2" t="n">
        <v>20</v>
      </c>
      <c r="E140" s="2" t="inlineStr">
        <is>
          <t>Control charts for individual measurements shall be established to maintain process control within tolerance for aggregate gradation, asphalt content, and VMA.</t>
        </is>
      </c>
      <c r="F140" s="2" t="inlineStr">
        <is>
          <t>Nē</t>
        </is>
      </c>
      <c r="G140" s="2" t="n"/>
    </row>
    <row r="141">
      <c r="A141" s="2" t="inlineStr">
        <is>
          <t>150-5370-10H-P0321-021</t>
        </is>
      </c>
      <c r="B141" s="2" t="inlineStr">
        <is>
          <t>150-5370-10H.pdf</t>
        </is>
      </c>
      <c r="C141" s="2" t="n">
        <v>321</v>
      </c>
      <c r="D141" s="2" t="n">
        <v>21</v>
      </c>
      <c r="E141" s="2" t="inlineStr">
        <is>
          <t>The control charts shall use the JMF target values as indicators of central tendency for the following test parameters with associated Action and Suspension Limits:</t>
        </is>
      </c>
      <c r="F141" s="2" t="inlineStr">
        <is>
          <t>Nē</t>
        </is>
      </c>
      <c r="G141" s="2" t="n"/>
    </row>
    <row r="142">
      <c r="A142" s="2" t="inlineStr">
        <is>
          <t>150-5370-10H-P0321-022</t>
        </is>
      </c>
      <c r="B142" s="2" t="inlineStr">
        <is>
          <t>150-5370-10H.pdf</t>
        </is>
      </c>
      <c r="C142" s="2" t="n">
        <v>321</v>
      </c>
      <c r="D142" s="2" t="n">
        <v>22</v>
      </c>
      <c r="E142" s="2" t="inlineStr">
        <is>
          <t>Control Chart Limits for Individual Measurements</t>
        </is>
      </c>
      <c r="F142" s="2" t="inlineStr">
        <is>
          <t>Nē</t>
        </is>
      </c>
      <c r="G142" s="2" t="n"/>
    </row>
    <row r="143">
      <c r="A143" s="2" t="inlineStr">
        <is>
          <t>150-5370-10H-P0321-023</t>
        </is>
      </c>
      <c r="B143" s="2" t="inlineStr">
        <is>
          <t>150-5370-10H.pdf</t>
        </is>
      </c>
      <c r="C143" s="2" t="n">
        <v>321</v>
      </c>
      <c r="D143" s="2" t="n">
        <v>23</v>
      </c>
      <c r="E143" s="2" t="inlineStr">
        <is>
          <t>Sieve Action Limit Suspension Limit 3/4 inch (19.0 mm) ±6% ±9% 1/2 inch (12.5 mm) ±6% ±9% 3/8 inch (9.5 mm) ±6% ±9% No.</t>
        </is>
      </c>
      <c r="F143" s="2" t="inlineStr">
        <is>
          <t>Nē</t>
        </is>
      </c>
      <c r="G143" s="2" t="n"/>
    </row>
    <row r="144">
      <c r="A144" s="2" t="inlineStr">
        <is>
          <t>150-5370-10H-P0321-024</t>
        </is>
      </c>
      <c r="B144" s="2" t="inlineStr">
        <is>
          <t>150-5370-10H.pdf</t>
        </is>
      </c>
      <c r="C144" s="2" t="n">
        <v>321</v>
      </c>
      <c r="D144" s="2" t="n">
        <v>24</v>
      </c>
      <c r="E144" s="2" t="inlineStr">
        <is>
          <t>4 (4.75 mm) ±6% ±9% No.</t>
        </is>
      </c>
      <c r="F144" s="2" t="inlineStr">
        <is>
          <t>Nē</t>
        </is>
      </c>
      <c r="G144" s="2" t="n"/>
    </row>
    <row r="145">
      <c r="A145" s="2" t="inlineStr">
        <is>
          <t>150-5370-10H-P0321-025</t>
        </is>
      </c>
      <c r="B145" s="2" t="inlineStr">
        <is>
          <t>150-5370-10H.pdf</t>
        </is>
      </c>
      <c r="C145" s="2" t="n">
        <v>321</v>
      </c>
      <c r="D145" s="2" t="n">
        <v>25</v>
      </c>
      <c r="E145" s="2" t="inlineStr">
        <is>
          <t>16 (1.18 mm) ±5% ±7.5% No.</t>
        </is>
      </c>
      <c r="F145" s="2" t="inlineStr">
        <is>
          <t>Nē</t>
        </is>
      </c>
      <c r="G145" s="2" t="n"/>
    </row>
    <row r="146">
      <c r="A146" s="2" t="inlineStr">
        <is>
          <t>150-5370-10H-P0321-026</t>
        </is>
      </c>
      <c r="B146" s="2" t="inlineStr">
        <is>
          <t>150-5370-10H.pdf</t>
        </is>
      </c>
      <c r="C146" s="2" t="n">
        <v>321</v>
      </c>
      <c r="D146" s="2" t="n">
        <v>26</v>
      </c>
      <c r="E146" s="2" t="inlineStr">
        <is>
          <t>50 (300 µm) ±3% ±4.5% No.</t>
        </is>
      </c>
      <c r="F146" s="2" t="inlineStr">
        <is>
          <t>Nē</t>
        </is>
      </c>
      <c r="G146" s="2" t="n"/>
    </row>
    <row r="147">
      <c r="A147" s="2" t="inlineStr">
        <is>
          <t>150-5370-10H-P0321-027</t>
        </is>
      </c>
      <c r="B147" s="2" t="inlineStr">
        <is>
          <t>150-5370-10H.pdf</t>
        </is>
      </c>
      <c r="C147" s="2" t="n">
        <v>321</v>
      </c>
      <c r="D147" s="2" t="n">
        <v>27</v>
      </c>
      <c r="E147" s="2" t="inlineStr">
        <is>
          <t>200 (75 µm) ±2% ±3% Asphalt Content ±0.45% ±0.70% Minimum VMA -0.5% -1.0%</t>
        </is>
      </c>
      <c r="F147" s="2" t="inlineStr">
        <is>
          <t>Nē</t>
        </is>
      </c>
      <c r="G147" s="2" t="n"/>
    </row>
    <row r="148">
      <c r="A148" s="2" t="inlineStr">
        <is>
          <t>150-5370-10H-P0321-028</t>
        </is>
      </c>
      <c r="B148" s="2" t="inlineStr">
        <is>
          <t>150-5370-10H.pdf</t>
        </is>
      </c>
      <c r="C148" s="2" t="n">
        <v>321</v>
      </c>
      <c r="D148" s="2" t="n">
        <v>28</v>
      </c>
      <c r="E148" s="2" t="inlineStr">
        <is>
          <t>Item P-403 Asphalt Mix Pavement [ Base ] [ Leveling ] [ Surface ] Course 313</t>
        </is>
      </c>
      <c r="F148" s="2" t="inlineStr">
        <is>
          <t>Nē</t>
        </is>
      </c>
      <c r="G148" s="2" t="n"/>
    </row>
    <row r="149">
      <c r="A149" s="2" t="inlineStr">
        <is>
          <t>150-5370-10H-P0335-001</t>
        </is>
      </c>
      <c r="B149" s="2" t="inlineStr">
        <is>
          <t>150-5370-10H.pdf</t>
        </is>
      </c>
      <c r="C149" s="2" t="n">
        <v>335</v>
      </c>
      <c r="D149" s="2" t="n">
        <v>1</v>
      </c>
      <c r="E149" s="2" t="inlineStr">
        <is>
          <t>12/21/2018 AC 150/5370-10H  [ ]</t>
        </is>
      </c>
      <c r="F149" s="2" t="inlineStr">
        <is>
          <t>Nē</t>
        </is>
      </c>
      <c r="G149" s="2" t="n"/>
    </row>
    <row r="150">
      <c r="A150" s="2" t="inlineStr">
        <is>
          <t>150-5370-10H-P0335-002</t>
        </is>
      </c>
      <c r="B150" s="2" t="inlineStr">
        <is>
          <t>150-5370-10H.pdf</t>
        </is>
      </c>
      <c r="C150" s="2" t="n">
        <v>335</v>
      </c>
      <c r="D150" s="2" t="n">
        <v>2</v>
      </c>
      <c r="E150" s="2" t="inlineStr">
        <is>
          <t>The Owner may add additional testing to meet local conditions with FAA concurrence.</t>
        </is>
      </c>
      <c r="F150" s="2" t="inlineStr">
        <is>
          <t>Nē</t>
        </is>
      </c>
      <c r="G150" s="2" t="n"/>
    </row>
    <row r="151">
      <c r="A151" s="2" t="inlineStr">
        <is>
          <t>150-5370-10H-P0335-003</t>
        </is>
      </c>
      <c r="B151" s="2" t="inlineStr">
        <is>
          <t>150-5370-10H.pdf</t>
        </is>
      </c>
      <c r="C151" s="2" t="n">
        <v>335</v>
      </c>
      <c r="D151" s="2" t="n">
        <v>3</v>
      </c>
      <c r="E151" s="2" t="inlineStr">
        <is>
          <t>The mineral aggregate shall be of such size that the percentage composition by weight, as determined by laboratory screens, will conform to the gradation or gradations specified in paragraph 404-3.3, Table 2 when tested in accordance with ASTM C136 and ASTM C117.</t>
        </is>
      </c>
      <c r="F151" s="2" t="inlineStr">
        <is>
          <t>Nē</t>
        </is>
      </c>
      <c r="G151" s="2" t="n"/>
    </row>
    <row r="152">
      <c r="A152" s="2" t="inlineStr">
        <is>
          <t>150-5370-10H-P0335-004</t>
        </is>
      </c>
      <c r="B152" s="2" t="inlineStr">
        <is>
          <t>150-5370-10H.pdf</t>
        </is>
      </c>
      <c r="C152" s="2" t="n">
        <v>335</v>
      </c>
      <c r="D152" s="2" t="n">
        <v>4</v>
      </c>
      <c r="E152" s="2" t="inlineStr">
        <is>
          <t>The gradations in Table 2 represent the limits that shall determine the suitability of aggregate for use from the sources of supply; be well graded from coarse to fine and shall not vary from the low limit on one sieve to the high limit on the adjacent sieve, or vice versa.</t>
        </is>
      </c>
      <c r="F152" s="2" t="inlineStr">
        <is>
          <t>Nē</t>
        </is>
      </c>
      <c r="G152" s="2" t="n"/>
    </row>
    <row r="153">
      <c r="A153" s="2" t="inlineStr">
        <is>
          <t>150-5370-10H-P0335-005</t>
        </is>
      </c>
      <c r="B153" s="2" t="inlineStr">
        <is>
          <t>150-5370-10H.pdf</t>
        </is>
      </c>
      <c r="C153" s="2" t="n">
        <v>335</v>
      </c>
      <c r="D153" s="2" t="n">
        <v>5</v>
      </c>
      <c r="E153" s="2" t="inlineStr">
        <is>
          <t>Table 2.</t>
        </is>
      </c>
      <c r="F153" s="2" t="inlineStr">
        <is>
          <t>Nē</t>
        </is>
      </c>
      <c r="G153" s="2" t="n"/>
    </row>
    <row r="154">
      <c r="A154" s="2" t="inlineStr">
        <is>
          <t>150-5370-10H-P0335-006</t>
        </is>
      </c>
      <c r="B154" s="2" t="inlineStr">
        <is>
          <t>150-5370-10H.pdf</t>
        </is>
      </c>
      <c r="C154" s="2" t="n">
        <v>335</v>
      </c>
      <c r="D154" s="2" t="n">
        <v>6</v>
      </c>
      <c r="E154" s="2" t="inlineStr">
        <is>
          <t>Aggregate – Fuel-Resistant Asphalt Pavement</t>
        </is>
      </c>
      <c r="F154" s="2" t="inlineStr">
        <is>
          <t>Nē</t>
        </is>
      </c>
      <c r="G154" s="2" t="n"/>
    </row>
    <row r="155">
      <c r="A155" s="2" t="inlineStr">
        <is>
          <t>150-5370-10H-P0335-007</t>
        </is>
      </c>
      <c r="B155" s="2" t="inlineStr">
        <is>
          <t>150-5370-10H.pdf</t>
        </is>
      </c>
      <c r="C155" s="2" t="n">
        <v>335</v>
      </c>
      <c r="D155" s="2" t="n">
        <v>7</v>
      </c>
      <c r="E155" s="2" t="inlineStr">
        <is>
          <t>Sieve Size ¾ inch (19.5MM) mix 1/2 inch (12.5 mm) mix % passing by weight % passing by weight ¾ inch (19.5mm) 100 1/2 inch (12.5 mm) 90-100 100 3/8 inch (9.5 mm) 72-88 90-100 No.</t>
        </is>
      </c>
      <c r="F155" s="2" t="inlineStr">
        <is>
          <t>Nē</t>
        </is>
      </c>
      <c r="G155" s="2" t="n"/>
    </row>
    <row r="156">
      <c r="A156" s="2" t="inlineStr">
        <is>
          <t>150-5370-10H-P0335-008</t>
        </is>
      </c>
      <c r="B156" s="2" t="inlineStr">
        <is>
          <t>150-5370-10H.pdf</t>
        </is>
      </c>
      <c r="C156" s="2" t="n">
        <v>335</v>
      </c>
      <c r="D156" s="2" t="n">
        <v>8</v>
      </c>
      <c r="E156" s="2" t="inlineStr">
        <is>
          <t>4 (4.75 mm) 53-73 58-78 No.</t>
        </is>
      </c>
      <c r="F156" s="2" t="inlineStr">
        <is>
          <t>Nē</t>
        </is>
      </c>
      <c r="G156" s="2" t="n"/>
    </row>
    <row r="157">
      <c r="A157" s="2" t="inlineStr">
        <is>
          <t>150-5370-10H-P0335-009</t>
        </is>
      </c>
      <c r="B157" s="2" t="inlineStr">
        <is>
          <t>150-5370-10H.pdf</t>
        </is>
      </c>
      <c r="C157" s="2" t="n">
        <v>335</v>
      </c>
      <c r="D157" s="2" t="n">
        <v>9</v>
      </c>
      <c r="E157" s="2" t="inlineStr">
        <is>
          <t>8 (2.36 mm) 38-60 40-60 No.</t>
        </is>
      </c>
      <c r="F157" s="2" t="inlineStr">
        <is>
          <t>Nē</t>
        </is>
      </c>
      <c r="G157" s="2" t="n"/>
    </row>
    <row r="158">
      <c r="A158" s="2" t="inlineStr">
        <is>
          <t>150-5370-10H-P0335-010</t>
        </is>
      </c>
      <c r="B158" s="2" t="inlineStr">
        <is>
          <t>150-5370-10H.pdf</t>
        </is>
      </c>
      <c r="C158" s="2" t="n">
        <v>335</v>
      </c>
      <c r="D158" s="2" t="n">
        <v>10</v>
      </c>
      <c r="E158" s="2" t="inlineStr">
        <is>
          <t>16 (1.18 mm) 26-48 28-48 No.</t>
        </is>
      </c>
      <c r="F158" s="2" t="inlineStr">
        <is>
          <t>Nē</t>
        </is>
      </c>
      <c r="G158" s="2" t="n"/>
    </row>
    <row r="159">
      <c r="A159" s="2" t="inlineStr">
        <is>
          <t>150-5370-10H-P0335-011</t>
        </is>
      </c>
      <c r="B159" s="2" t="inlineStr">
        <is>
          <t>150-5370-10H.pdf</t>
        </is>
      </c>
      <c r="C159" s="2" t="n">
        <v>335</v>
      </c>
      <c r="D159" s="2" t="n">
        <v>11</v>
      </c>
      <c r="E159" s="2" t="inlineStr">
        <is>
          <t>30 (600 µm) 18-38 18-38 No.</t>
        </is>
      </c>
      <c r="F159" s="2" t="inlineStr">
        <is>
          <t>Nē</t>
        </is>
      </c>
      <c r="G159" s="2" t="n"/>
    </row>
    <row r="160">
      <c r="A160" s="2" t="inlineStr">
        <is>
          <t>150-5370-10H-P0335-012</t>
        </is>
      </c>
      <c r="B160" s="2" t="inlineStr">
        <is>
          <t>150-5370-10H.pdf</t>
        </is>
      </c>
      <c r="C160" s="2" t="n">
        <v>335</v>
      </c>
      <c r="D160" s="2" t="n">
        <v>12</v>
      </c>
      <c r="E160" s="2" t="inlineStr">
        <is>
          <t>50 (300 µm) 11-27 11-27 No.</t>
        </is>
      </c>
      <c r="F160" s="2" t="inlineStr">
        <is>
          <t>Nē</t>
        </is>
      </c>
      <c r="G160" s="2" t="n"/>
    </row>
    <row r="161">
      <c r="A161" s="2" t="inlineStr">
        <is>
          <t>150-5370-10H-P0335-013</t>
        </is>
      </c>
      <c r="B161" s="2" t="inlineStr">
        <is>
          <t>150-5370-10H.pdf</t>
        </is>
      </c>
      <c r="C161" s="2" t="n">
        <v>335</v>
      </c>
      <c r="D161" s="2" t="n">
        <v>13</v>
      </c>
      <c r="E161" s="2" t="inlineStr">
        <is>
          <t>100 (150 µm) 6-18 6-18 No.</t>
        </is>
      </c>
      <c r="F161" s="2" t="inlineStr">
        <is>
          <t>Nē</t>
        </is>
      </c>
      <c r="G161" s="2" t="n"/>
    </row>
    <row r="162">
      <c r="A162" s="2" t="inlineStr">
        <is>
          <t>150-5370-10H-P0335-014</t>
        </is>
      </c>
      <c r="B162" s="2" t="inlineStr">
        <is>
          <t>150-5370-10H.pdf</t>
        </is>
      </c>
      <c r="C162" s="2" t="n">
        <v>335</v>
      </c>
      <c r="D162" s="2" t="n">
        <v>14</v>
      </c>
      <c r="E162" s="2" t="inlineStr">
        <is>
          <t>200 (75 µm) 3-6 3-6 Minimum Voids in Mineral 15 16 Aggregate (VMA)1 Asphalt Percent Stone or gravel 5-7.5 5.5-8.0 Slag 6.5-9.5 7.0-10.5 Recommended Minimum 2” (51mm) 1 1/2 inch (37.0 mm) Construction Lift Thickness</t>
        </is>
      </c>
      <c r="F162" s="2" t="inlineStr">
        <is>
          <t>Nē</t>
        </is>
      </c>
      <c r="G162" s="2" t="n"/>
    </row>
    <row r="163">
      <c r="A163" s="2" t="inlineStr">
        <is>
          <t>150-5370-10H-P0335-015</t>
        </is>
      </c>
      <c r="B163" s="2" t="inlineStr">
        <is>
          <t>150-5370-10H.pdf</t>
        </is>
      </c>
      <c r="C163" s="2" t="n">
        <v>335</v>
      </c>
      <c r="D163" s="2" t="n">
        <v>15</v>
      </c>
      <c r="E163" s="2" t="inlineStr">
        <is>
          <t>1To achieve minimum VMA during production, the mix design needs to account for material breakdown during production.</t>
        </is>
      </c>
      <c r="F163" s="2" t="inlineStr">
        <is>
          <t>Nē</t>
        </is>
      </c>
      <c r="G163" s="2" t="n"/>
    </row>
    <row r="164">
      <c r="A164" s="2" t="inlineStr">
        <is>
          <t>150-5370-10H-P0335-016</t>
        </is>
      </c>
      <c r="B164" s="2" t="inlineStr">
        <is>
          <t>150-5370-10H.pdf</t>
        </is>
      </c>
      <c r="C164" s="2" t="n">
        <v>335</v>
      </c>
      <c r="D164" s="2" t="n">
        <v>16</v>
      </c>
      <c r="E164" s="2" t="inlineStr">
        <is>
          <t>The aggregate gradation shown is based on aggregates of uniform specific gravity.</t>
        </is>
      </c>
      <c r="F164" s="2" t="inlineStr">
        <is>
          <t>Nē</t>
        </is>
      </c>
      <c r="G164" s="2" t="n"/>
    </row>
    <row r="165">
      <c r="A165" s="2" t="inlineStr">
        <is>
          <t>150-5370-10H-P0335-017</t>
        </is>
      </c>
      <c r="B165" s="2" t="inlineStr">
        <is>
          <t>150-5370-10H.pdf</t>
        </is>
      </c>
      <c r="C165" s="2" t="n">
        <v>335</v>
      </c>
      <c r="D165" s="2" t="n">
        <v>17</v>
      </c>
      <c r="E165" s="2" t="inlineStr">
        <is>
          <t>The percentages passing the various sieves shall be corrected when aggregates of varying specific gravities are used, as indicated in the Asphalt Institute MS-2 Mix Design Manual, 7th Edition.</t>
        </is>
      </c>
      <c r="F165" s="2" t="inlineStr">
        <is>
          <t>Nē</t>
        </is>
      </c>
      <c r="G165" s="2" t="n"/>
    </row>
    <row r="166">
      <c r="A166" s="2" t="inlineStr">
        <is>
          <t>150-5370-10H-P0335-018</t>
        </is>
      </c>
      <c r="B166" s="2" t="inlineStr">
        <is>
          <t>150-5370-10H.pdf</t>
        </is>
      </c>
      <c r="C166" s="2" t="n">
        <v>335</v>
      </c>
      <c r="D166" s="2" t="n">
        <v>18</v>
      </c>
      <c r="E166" s="2" t="inlineStr">
        <is>
          <t>404-3.4 Testing requirement for asphalt resistance to fuel.</t>
        </is>
      </c>
      <c r="F166" s="2" t="inlineStr">
        <is>
          <t>Nē</t>
        </is>
      </c>
      <c r="G166" s="2" t="n"/>
    </row>
    <row r="167">
      <c r="A167" s="2" t="inlineStr">
        <is>
          <t>150-5370-10H-P0335-019</t>
        </is>
      </c>
      <c r="B167" s="2" t="inlineStr">
        <is>
          <t>150-5370-10H.pdf</t>
        </is>
      </c>
      <c r="C167" s="2" t="n">
        <v>335</v>
      </c>
      <c r="D167" s="2" t="n">
        <v>19</v>
      </c>
      <c r="E167" s="2" t="inlineStr">
        <is>
          <t>Procedures for testing asphalt resistance to fuel shall be as follows:</t>
        </is>
      </c>
      <c r="F167" s="2" t="inlineStr">
        <is>
          <t>Nē</t>
        </is>
      </c>
      <c r="G167" s="2" t="n"/>
    </row>
    <row r="168">
      <c r="A168" s="2" t="inlineStr">
        <is>
          <t>150-5370-10H-P0335-020</t>
        </is>
      </c>
      <c r="B168" s="2" t="inlineStr">
        <is>
          <t>150-5370-10H.pdf</t>
        </is>
      </c>
      <c r="C168" s="2" t="n">
        <v>335</v>
      </c>
      <c r="D168" s="2" t="n">
        <v>20</v>
      </c>
      <c r="E168" s="2" t="inlineStr">
        <is>
          <t>Item P-404 Fuel-Resistant Asphalt Mix Pavement 327</t>
        </is>
      </c>
      <c r="F168" s="2" t="inlineStr">
        <is>
          <t>Nē</t>
        </is>
      </c>
      <c r="G168" s="2" t="n"/>
    </row>
    <row r="169">
      <c r="A169" s="2" t="inlineStr">
        <is>
          <t>150-5370-10H-P0349-001</t>
        </is>
      </c>
      <c r="B169" s="2" t="inlineStr">
        <is>
          <t>150-5370-10H.pdf</t>
        </is>
      </c>
      <c r="C169" s="2" t="n">
        <v>349</v>
      </c>
      <c r="D169" s="2" t="n">
        <v>1</v>
      </c>
      <c r="E169" s="2" t="inlineStr">
        <is>
          <t>12/21/2018 AC 150/5370-10H</t>
        </is>
      </c>
      <c r="F169" s="2" t="inlineStr">
        <is>
          <t>Nē</t>
        </is>
      </c>
      <c r="G169" s="2" t="n"/>
    </row>
    <row r="170">
      <c r="A170" s="2" t="inlineStr">
        <is>
          <t>150-5370-10H-P0349-002</t>
        </is>
      </c>
      <c r="B170" s="2" t="inlineStr">
        <is>
          <t>150-5370-10H.pdf</t>
        </is>
      </c>
      <c r="C170" s="2" t="n">
        <v>349</v>
      </c>
      <c r="D170" s="2" t="n">
        <v>2</v>
      </c>
      <c r="E170" s="2" t="inlineStr">
        <is>
          <t>a. Outliers.</t>
        </is>
      </c>
      <c r="F170" s="2" t="inlineStr">
        <is>
          <t>Nē</t>
        </is>
      </c>
      <c r="G170" s="2" t="n"/>
    </row>
    <row r="171">
      <c r="A171" s="2" t="inlineStr">
        <is>
          <t>150-5370-10H-P0349-003</t>
        </is>
      </c>
      <c r="B171" s="2" t="inlineStr">
        <is>
          <t>150-5370-10H.pdf</t>
        </is>
      </c>
      <c r="C171" s="2" t="n">
        <v>349</v>
      </c>
      <c r="D171" s="2" t="n">
        <v>3</v>
      </c>
      <c r="E171" s="2" t="inlineStr">
        <is>
          <t>All individual tests for mat density and air voids will be checked for outliers (test criterion) in accordance with ASTM E178, at a significance level of 5%.</t>
        </is>
      </c>
      <c r="F171" s="2" t="inlineStr">
        <is>
          <t>Nē</t>
        </is>
      </c>
      <c r="G171" s="2" t="n"/>
    </row>
    <row r="172">
      <c r="A172" s="2" t="inlineStr">
        <is>
          <t>150-5370-10H-P0349-004</t>
        </is>
      </c>
      <c r="B172" s="2" t="inlineStr">
        <is>
          <t>150-5370-10H.pdf</t>
        </is>
      </c>
      <c r="C172" s="2" t="n">
        <v>349</v>
      </c>
      <c r="D172" s="2" t="n">
        <v>4</v>
      </c>
      <c r="E172" s="2" t="inlineStr">
        <is>
          <t>Outliers will be discarded, and the PWL will be determined using the remaining test values.</t>
        </is>
      </c>
      <c r="F172" s="2" t="inlineStr">
        <is>
          <t>Nē</t>
        </is>
      </c>
      <c r="G172" s="2" t="n"/>
    </row>
    <row r="173">
      <c r="A173" s="2" t="inlineStr">
        <is>
          <t>150-5370-10H-P0349-005</t>
        </is>
      </c>
      <c r="B173" s="2" t="inlineStr">
        <is>
          <t>150-5370-10H.pdf</t>
        </is>
      </c>
      <c r="C173" s="2" t="n">
        <v>349</v>
      </c>
      <c r="D173" s="2" t="n">
        <v>5</v>
      </c>
      <c r="E173" s="2" t="inlineStr">
        <is>
          <t>The criteria in Table 5 is based on production processes which have a variability with the following standard deviations: Surface Course Mat Density (%), 1.20;</t>
        </is>
      </c>
      <c r="F173" s="2" t="inlineStr">
        <is>
          <t>Nē</t>
        </is>
      </c>
      <c r="G173" s="2" t="n"/>
    </row>
    <row r="174">
      <c r="A174" s="2" t="inlineStr">
        <is>
          <t>150-5370-10H-P0349-006</t>
        </is>
      </c>
      <c r="B174" s="2" t="inlineStr">
        <is>
          <t>150-5370-10H.pdf</t>
        </is>
      </c>
      <c r="C174" s="2" t="n">
        <v>349</v>
      </c>
      <c r="D174" s="2" t="n">
        <v>6</v>
      </c>
      <c r="E174" s="2" t="inlineStr">
        <is>
          <t>Base Course Mat Density (%), 1.55;</t>
        </is>
      </c>
      <c r="F174" s="2" t="inlineStr">
        <is>
          <t>Nē</t>
        </is>
      </c>
      <c r="G174" s="2" t="n"/>
    </row>
    <row r="175">
      <c r="A175" s="2" t="inlineStr">
        <is>
          <t>150-5370-10H-P0349-007</t>
        </is>
      </c>
      <c r="B175" s="2" t="inlineStr">
        <is>
          <t>150-5370-10H.pdf</t>
        </is>
      </c>
      <c r="C175" s="2" t="n">
        <v>349</v>
      </c>
      <c r="D175" s="2" t="n">
        <v>7</v>
      </c>
      <c r="E175" s="2" t="inlineStr">
        <is>
          <t>Joint Density (%), 1.8.</t>
        </is>
      </c>
      <c r="F175" s="2" t="inlineStr">
        <is>
          <t>Nē</t>
        </is>
      </c>
      <c r="G175" s="2" t="n"/>
    </row>
    <row r="176">
      <c r="A176" s="2" t="inlineStr">
        <is>
          <t>150-5370-10H-P0349-008</t>
        </is>
      </c>
      <c r="B176" s="2" t="inlineStr">
        <is>
          <t>150-5370-10H.pdf</t>
        </is>
      </c>
      <c r="C176" s="2" t="n">
        <v>349</v>
      </c>
      <c r="D176" s="2" t="n">
        <v>8</v>
      </c>
      <c r="E176" s="2" t="inlineStr">
        <is>
          <t>404-6.4 Resampling pavement for mat density.</t>
        </is>
      </c>
      <c r="F176" s="2" t="inlineStr">
        <is>
          <t>Nē</t>
        </is>
      </c>
      <c r="G176" s="2" t="n"/>
    </row>
    <row r="177">
      <c r="A177" s="2" t="inlineStr">
        <is>
          <t>150-5370-10H-P0349-009</t>
        </is>
      </c>
      <c r="B177" s="2" t="inlineStr">
        <is>
          <t>150-5370-10H.pdf</t>
        </is>
      </c>
      <c r="C177" s="2" t="n">
        <v>349</v>
      </c>
      <c r="D177" s="2" t="n">
        <v>9</v>
      </c>
      <c r="E177" s="2" t="inlineStr">
        <is>
          <t>a. General.</t>
        </is>
      </c>
      <c r="F177" s="2" t="inlineStr">
        <is>
          <t>Nē</t>
        </is>
      </c>
      <c r="G177" s="2" t="n"/>
    </row>
    <row r="178">
      <c r="A178" s="2" t="inlineStr">
        <is>
          <t>150-5370-10H-P0349-010</t>
        </is>
      </c>
      <c r="B178" s="2" t="inlineStr">
        <is>
          <t>150-5370-10H.pdf</t>
        </is>
      </c>
      <c r="C178" s="2" t="n">
        <v>349</v>
      </c>
      <c r="D178" s="2" t="n">
        <v>10</v>
      </c>
      <c r="E178" s="2" t="inlineStr">
        <is>
          <t>Resampling of a lot of pavement will only be allowed for mat density, and then, only if the Contractor requests same, in writing, within 48 hours after receiving the written test results from the RPR.</t>
        </is>
      </c>
      <c r="F178" s="2" t="inlineStr">
        <is>
          <t>Nē</t>
        </is>
      </c>
      <c r="G178" s="2" t="n"/>
    </row>
    <row r="179">
      <c r="A179" s="2" t="inlineStr">
        <is>
          <t>150-5370-10H-P0349-011</t>
        </is>
      </c>
      <c r="B179" s="2" t="inlineStr">
        <is>
          <t>150-5370-10H.pdf</t>
        </is>
      </c>
      <c r="C179" s="2" t="n">
        <v>349</v>
      </c>
      <c r="D179" s="2" t="n">
        <v>11</v>
      </c>
      <c r="E179" s="2" t="inlineStr">
        <is>
          <t>A retest will consist of all the sampling and testing procedures contained in paragraph 404-6.1d.</t>
        </is>
      </c>
      <c r="F179" s="2" t="inlineStr">
        <is>
          <t>Nē</t>
        </is>
      </c>
      <c r="G179" s="2" t="n"/>
    </row>
    <row r="180">
      <c r="A180" s="2" t="inlineStr">
        <is>
          <t>150-5370-10H-P0349-012</t>
        </is>
      </c>
      <c r="B180" s="2" t="inlineStr">
        <is>
          <t>150-5370-10H.pdf</t>
        </is>
      </c>
      <c r="C180" s="2" t="n">
        <v>349</v>
      </c>
      <c r="D180" s="2" t="n">
        <v>12</v>
      </c>
      <c r="E180" s="2" t="inlineStr">
        <is>
          <t>Only one resampling per lot will be permitted.</t>
        </is>
      </c>
      <c r="F180" s="2" t="inlineStr">
        <is>
          <t>Nē</t>
        </is>
      </c>
      <c r="G180" s="2" t="n"/>
    </row>
    <row r="181">
      <c r="A181" s="2" t="inlineStr">
        <is>
          <t>150-5370-10H-P0349-013</t>
        </is>
      </c>
      <c r="B181" s="2" t="inlineStr">
        <is>
          <t>150-5370-10H.pdf</t>
        </is>
      </c>
      <c r="C181" s="2" t="n">
        <v>349</v>
      </c>
      <c r="D181" s="2" t="n">
        <v>13</v>
      </c>
      <c r="E181" s="2" t="inlineStr">
        <is>
          <t>(1) A redefined PWL will be calculated for the resampled lot.</t>
        </is>
      </c>
      <c r="F181" s="2" t="inlineStr">
        <is>
          <t>Nē</t>
        </is>
      </c>
      <c r="G181" s="2" t="n"/>
    </row>
    <row r="182">
      <c r="A182" s="2" t="inlineStr">
        <is>
          <t>150-5370-10H-P0349-014</t>
        </is>
      </c>
      <c r="B182" s="2" t="inlineStr">
        <is>
          <t>150-5370-10H.pdf</t>
        </is>
      </c>
      <c r="C182" s="2" t="n">
        <v>349</v>
      </c>
      <c r="D182" s="2" t="n">
        <v>14</v>
      </c>
      <c r="E182" s="2" t="inlineStr">
        <is>
          <t>The number of tests used to calculate the redefined PWL will include the initial tests made for that lot plus the retests.</t>
        </is>
      </c>
      <c r="F182" s="2" t="inlineStr">
        <is>
          <t>Nē</t>
        </is>
      </c>
      <c r="G182" s="2" t="n"/>
    </row>
    <row r="183">
      <c r="A183" s="2" t="inlineStr">
        <is>
          <t>150-5370-10H-P0349-015</t>
        </is>
      </c>
      <c r="B183" s="2" t="inlineStr">
        <is>
          <t>150-5370-10H.pdf</t>
        </is>
      </c>
      <c r="C183" s="2" t="n">
        <v>349</v>
      </c>
      <c r="D183" s="2" t="n">
        <v>15</v>
      </c>
      <c r="E183" s="2" t="inlineStr">
        <is>
          <t>(2) The cost for resampling and retesting shall be borne by the Contractor.</t>
        </is>
      </c>
      <c r="F183" s="2" t="inlineStr">
        <is>
          <t>Nē</t>
        </is>
      </c>
      <c r="G183" s="2" t="n"/>
    </row>
    <row r="184">
      <c r="A184" s="2" t="inlineStr">
        <is>
          <t>150-5370-10H-P0349-016</t>
        </is>
      </c>
      <c r="B184" s="2" t="inlineStr">
        <is>
          <t>150-5370-10H.pdf</t>
        </is>
      </c>
      <c r="C184" s="2" t="n">
        <v>349</v>
      </c>
      <c r="D184" s="2" t="n">
        <v>16</v>
      </c>
      <c r="E184" s="2" t="inlineStr">
        <is>
          <t>b. Payment for resampled lots.</t>
        </is>
      </c>
      <c r="F184" s="2" t="inlineStr">
        <is>
          <t>Nē</t>
        </is>
      </c>
      <c r="G184" s="2" t="n"/>
    </row>
    <row r="185">
      <c r="A185" s="2" t="inlineStr">
        <is>
          <t>150-5370-10H-P0349-017</t>
        </is>
      </c>
      <c r="B185" s="2" t="inlineStr">
        <is>
          <t>150-5370-10H.pdf</t>
        </is>
      </c>
      <c r="C185" s="2" t="n">
        <v>349</v>
      </c>
      <c r="D185" s="2" t="n">
        <v>17</v>
      </c>
      <c r="E185" s="2" t="inlineStr">
        <is>
          <t>The redefined PWL for a resampled lot will be used to calculate the payment for that lot in accordance with Table 5.</t>
        </is>
      </c>
      <c r="F185" s="2" t="inlineStr">
        <is>
          <t>Nē</t>
        </is>
      </c>
      <c r="G185" s="2" t="n"/>
    </row>
    <row r="186">
      <c r="A186" s="2" t="inlineStr">
        <is>
          <t>150-5370-10H-P0349-018</t>
        </is>
      </c>
      <c r="B186" s="2" t="inlineStr">
        <is>
          <t>150-5370-10H.pdf</t>
        </is>
      </c>
      <c r="C186" s="2" t="n">
        <v>349</v>
      </c>
      <c r="D186" s="2" t="n">
        <v>18</v>
      </c>
      <c r="E186" s="2" t="inlineStr">
        <is>
          <t>c. Outliers.</t>
        </is>
      </c>
      <c r="F186" s="2" t="inlineStr">
        <is>
          <t>Nē</t>
        </is>
      </c>
      <c r="G186" s="2" t="n"/>
    </row>
    <row r="187">
      <c r="A187" s="2" t="inlineStr">
        <is>
          <t>150-5370-10H-P0349-019</t>
        </is>
      </c>
      <c r="B187" s="2" t="inlineStr">
        <is>
          <t>150-5370-10H.pdf</t>
        </is>
      </c>
      <c r="C187" s="2" t="n">
        <v>349</v>
      </c>
      <c r="D187" s="2" t="n">
        <v>19</v>
      </c>
      <c r="E187" s="2" t="inlineStr">
        <is>
          <t>Check for outliers in accordance with ASTM E178, at a significance level of 5%.</t>
        </is>
      </c>
      <c r="F187" s="2" t="inlineStr">
        <is>
          <t>Nē</t>
        </is>
      </c>
      <c r="G187" s="2" t="n"/>
    </row>
    <row r="188">
      <c r="A188" s="2" t="inlineStr">
        <is>
          <t>150-5370-10H-P0349-020</t>
        </is>
      </c>
      <c r="B188" s="2" t="inlineStr">
        <is>
          <t>150-5370-10H.pdf</t>
        </is>
      </c>
      <c r="C188" s="2" t="n">
        <v>349</v>
      </c>
      <c r="D188" s="2" t="n">
        <v>20</v>
      </c>
      <c r="E188" s="2" t="inlineStr">
        <is>
          <t>METHOD OF MEASUREMENT</t>
        </is>
      </c>
      <c r="F188" s="2" t="inlineStr">
        <is>
          <t>Nē</t>
        </is>
      </c>
      <c r="G188" s="2" t="n"/>
    </row>
    <row r="189">
      <c r="A189" s="2" t="inlineStr">
        <is>
          <t>150-5370-10H-P0349-021</t>
        </is>
      </c>
      <c r="B189" s="2" t="inlineStr">
        <is>
          <t>150-5370-10H.pdf</t>
        </is>
      </c>
      <c r="C189" s="2" t="n">
        <v>349</v>
      </c>
      <c r="D189" s="2" t="n">
        <v>21</v>
      </c>
      <c r="E189" s="2" t="inlineStr">
        <is>
          <t>404-7.1 Measurement.</t>
        </is>
      </c>
      <c r="F189" s="2" t="inlineStr">
        <is>
          <t>Nē</t>
        </is>
      </c>
      <c r="G189" s="2" t="n"/>
    </row>
    <row r="190">
      <c r="A190" s="2" t="inlineStr">
        <is>
          <t>150-5370-10H-P0349-022</t>
        </is>
      </c>
      <c r="B190" s="2" t="inlineStr">
        <is>
          <t>150-5370-10H.pdf</t>
        </is>
      </c>
      <c r="C190" s="2" t="n">
        <v>349</v>
      </c>
      <c r="D190" s="2" t="n">
        <v>22</v>
      </c>
      <c r="E190" s="2" t="inlineStr">
        <is>
          <t>Asphalt shall be measured by the number of tons (kg) of asphalt used in the accepted work.</t>
        </is>
      </c>
      <c r="F190" s="2" t="inlineStr">
        <is>
          <t>Nē</t>
        </is>
      </c>
      <c r="G190" s="2" t="n"/>
    </row>
    <row r="191">
      <c r="A191" s="2" t="inlineStr">
        <is>
          <t>150-5370-10H-P0349-023</t>
        </is>
      </c>
      <c r="B191" s="2" t="inlineStr">
        <is>
          <t>150-5370-10H.pdf</t>
        </is>
      </c>
      <c r="C191" s="2" t="n">
        <v>349</v>
      </c>
      <c r="D191" s="2" t="n">
        <v>23</v>
      </c>
      <c r="E191" s="2" t="inlineStr">
        <is>
          <t>Batch weights or truck scale weights will be used to determine the basis for the tonnage.</t>
        </is>
      </c>
      <c r="F191" s="2" t="inlineStr">
        <is>
          <t>Nē</t>
        </is>
      </c>
      <c r="G191" s="2" t="n"/>
    </row>
    <row r="192">
      <c r="A192" s="2" t="inlineStr">
        <is>
          <t>150-5370-10H-P0349-024</t>
        </is>
      </c>
      <c r="B192" s="2" t="inlineStr">
        <is>
          <t>150-5370-10H.pdf</t>
        </is>
      </c>
      <c r="C192" s="2" t="n">
        <v>349</v>
      </c>
      <c r="D192" s="2" t="n">
        <v>24</v>
      </c>
      <c r="E192" s="2" t="inlineStr">
        <is>
          <t>BASIS OF PAYMENT</t>
        </is>
      </c>
      <c r="F192" s="2" t="inlineStr">
        <is>
          <t>Nē</t>
        </is>
      </c>
      <c r="G192" s="2" t="n"/>
    </row>
    <row r="193">
      <c r="A193" s="2" t="inlineStr">
        <is>
          <t>150-5370-10H-P0349-025</t>
        </is>
      </c>
      <c r="B193" s="2" t="inlineStr">
        <is>
          <t>150-5370-10H.pdf</t>
        </is>
      </c>
      <c r="C193" s="2" t="n">
        <v>349</v>
      </c>
      <c r="D193" s="2" t="n">
        <v>25</v>
      </c>
      <c r="E193" s="2" t="inlineStr">
        <is>
          <t>404-8.1 Payment.</t>
        </is>
      </c>
      <c r="F193" s="2" t="inlineStr">
        <is>
          <t>Nē</t>
        </is>
      </c>
      <c r="G193" s="2" t="n"/>
    </row>
    <row r="194">
      <c r="A194" s="2" t="inlineStr">
        <is>
          <t>150-5370-10H-P0349-026</t>
        </is>
      </c>
      <c r="B194" s="2" t="inlineStr">
        <is>
          <t>150-5370-10H.pdf</t>
        </is>
      </c>
      <c r="C194" s="2" t="n">
        <v>349</v>
      </c>
      <c r="D194" s="2" t="n">
        <v>26</v>
      </c>
      <c r="E194" s="2" t="inlineStr">
        <is>
          <t>Payment for an accepted lot of asphalt mix pavement shall be made at the contract unit price per ton for the P-404 Fuel-Resistant Asphalt Surface Course and adjusted according to paragraph 404-8.1a.  The total project payment for plant mix asphalt mix pavement shall not exceed [ 100% ] of the product of the contract unit price and the total number of tons of asphalt surface mixture used in the accepted work.  This price shall be full compensation for furnishing all materials, for all preparation, mixing, and placing of these materials, and for all labor, equipment, tools, and incidentals necessary to complete the items.</t>
        </is>
      </c>
      <c r="F194" s="2" t="inlineStr">
        <is>
          <t>Nē</t>
        </is>
      </c>
      <c r="G194" s="2" t="n"/>
    </row>
    <row r="195">
      <c r="A195" s="2" t="inlineStr">
        <is>
          <t>150-5370-10H-P0349-027</t>
        </is>
      </c>
      <c r="B195" s="2" t="inlineStr">
        <is>
          <t>150-5370-10H.pdf</t>
        </is>
      </c>
      <c r="C195" s="2" t="n">
        <v>349</v>
      </c>
      <c r="D195" s="2" t="n">
        <v>27</v>
      </c>
      <c r="E195" s="2" t="inlineStr">
        <is>
          <t>The Engineer shall specify a value ranging from 100 to the maximum lot pay factor amount of 106%.</t>
        </is>
      </c>
      <c r="F195" s="2" t="inlineStr">
        <is>
          <t>Nē</t>
        </is>
      </c>
      <c r="G195" s="2" t="n"/>
    </row>
    <row r="196">
      <c r="A196" s="2" t="inlineStr">
        <is>
          <t>150-5370-10H-P0349-028</t>
        </is>
      </c>
      <c r="B196" s="2" t="inlineStr">
        <is>
          <t>150-5370-10H.pdf</t>
        </is>
      </c>
      <c r="C196" s="2" t="n">
        <v>349</v>
      </c>
      <c r="D196" s="2" t="n">
        <v>28</v>
      </c>
      <c r="E196" s="2" t="inlineStr">
        <is>
          <t>a. Basis of adjusted payment.</t>
        </is>
      </c>
      <c r="F196" s="2" t="inlineStr">
        <is>
          <t>Nē</t>
        </is>
      </c>
      <c r="G196" s="2" t="n"/>
    </row>
    <row r="197">
      <c r="A197" s="2" t="inlineStr">
        <is>
          <t>150-5370-10H-P0349-029</t>
        </is>
      </c>
      <c r="B197" s="2" t="inlineStr">
        <is>
          <t>150-5370-10H.pdf</t>
        </is>
      </c>
      <c r="C197" s="2" t="n">
        <v>349</v>
      </c>
      <c r="D197" s="2" t="n">
        <v>29</v>
      </c>
      <c r="E197" s="2" t="inlineStr">
        <is>
          <t>The pay factor for each individual lot shall be calculated in accordance with Table 6.</t>
        </is>
      </c>
      <c r="F197" s="2" t="inlineStr">
        <is>
          <t>Nē</t>
        </is>
      </c>
      <c r="G197" s="2" t="n"/>
    </row>
    <row r="198">
      <c r="A198" s="2" t="inlineStr">
        <is>
          <t>150-5370-10H-P0349-030</t>
        </is>
      </c>
      <c r="B198" s="2" t="inlineStr">
        <is>
          <t>150-5370-10H.pdf</t>
        </is>
      </c>
      <c r="C198" s="2" t="n">
        <v>349</v>
      </c>
      <c r="D198" s="2" t="n">
        <v>30</v>
      </c>
      <c r="E198" s="2" t="inlineStr">
        <is>
          <t>A pay factor shall be calculated for both mat density and air voids.</t>
        </is>
      </c>
      <c r="F198" s="2" t="inlineStr">
        <is>
          <t>Nē</t>
        </is>
      </c>
      <c r="G198" s="2" t="n"/>
    </row>
    <row r="199">
      <c r="A199" s="2" t="inlineStr">
        <is>
          <t>150-5370-10H-P0349-031</t>
        </is>
      </c>
      <c r="B199" s="2" t="inlineStr">
        <is>
          <t>150-5370-10H.pdf</t>
        </is>
      </c>
      <c r="C199" s="2" t="n">
        <v>349</v>
      </c>
      <c r="D199" s="2" t="n">
        <v>31</v>
      </c>
      <c r="E199" s="2" t="inlineStr">
        <is>
          <t>The lot pay factor shall be the higher of the two values when calculations for both mat density and air voids are 100% or higher.</t>
        </is>
      </c>
      <c r="F199" s="2" t="inlineStr">
        <is>
          <t>Nē</t>
        </is>
      </c>
      <c r="G199" s="2" t="n"/>
    </row>
    <row r="200">
      <c r="A200" s="2" t="inlineStr">
        <is>
          <t>150-5370-10H-P0349-032</t>
        </is>
      </c>
      <c r="B200" s="2" t="inlineStr">
        <is>
          <t>150-5370-10H.pdf</t>
        </is>
      </c>
      <c r="C200" s="2" t="n">
        <v>349</v>
      </c>
      <c r="D200" s="2" t="n">
        <v>32</v>
      </c>
      <c r="E200" s="2" t="inlineStr">
        <is>
          <t>The lot pay factor shall be the product of the two values when only one of the calculations for either mat density or air voids is 100% or higher.</t>
        </is>
      </c>
      <c r="F200" s="2" t="inlineStr">
        <is>
          <t>Nē</t>
        </is>
      </c>
      <c r="G200" s="2" t="n"/>
    </row>
    <row r="201">
      <c r="A201" s="2" t="inlineStr">
        <is>
          <t>150-5370-10H-P0349-033</t>
        </is>
      </c>
      <c r="B201" s="2" t="inlineStr">
        <is>
          <t>150-5370-10H.pdf</t>
        </is>
      </c>
      <c r="C201" s="2" t="n">
        <v>349</v>
      </c>
      <c r="D201" s="2" t="n">
        <v>33</v>
      </c>
      <c r="E201" s="2" t="inlineStr">
        <is>
          <t>The lot pay factor shall be the lower of the two values</t>
        </is>
      </c>
      <c r="F201" s="2" t="inlineStr">
        <is>
          <t>Nē</t>
        </is>
      </c>
      <c r="G201" s="2" t="n"/>
    </row>
    <row r="202">
      <c r="A202" s="2" t="inlineStr">
        <is>
          <t>150-5370-10H-P0349-034</t>
        </is>
      </c>
      <c r="B202" s="2" t="inlineStr">
        <is>
          <t>150-5370-10H.pdf</t>
        </is>
      </c>
      <c r="C202" s="2" t="n">
        <v>349</v>
      </c>
      <c r="D202" s="2" t="n">
        <v>34</v>
      </c>
      <c r="E202" s="2" t="inlineStr">
        <is>
          <t>Item P-404 Fuel-Resistant Asphalt Mix Pavement 341</t>
        </is>
      </c>
      <c r="F202" s="2" t="inlineStr">
        <is>
          <t>Nē</t>
        </is>
      </c>
      <c r="G202" s="2" t="n"/>
    </row>
    <row r="203">
      <c r="A203" s="2" t="inlineStr">
        <is>
          <t>150-5370-10H-P0355-001</t>
        </is>
      </c>
      <c r="B203" s="2" t="inlineStr">
        <is>
          <t>150-5370-10H.pdf</t>
        </is>
      </c>
      <c r="C203" s="2" t="n">
        <v>355</v>
      </c>
      <c r="D203" s="2" t="n">
        <v>1</v>
      </c>
      <c r="E203" s="2" t="inlineStr">
        <is>
          <t>12/21/2018 AC 150/5370-10H</t>
        </is>
      </c>
      <c r="F203" s="2" t="inlineStr">
        <is>
          <t>Nē</t>
        </is>
      </c>
      <c r="G203" s="2" t="n"/>
    </row>
    <row r="204">
      <c r="A204" s="2" t="inlineStr">
        <is>
          <t>150-5370-10H-P0355-002</t>
        </is>
      </c>
      <c r="B204" s="2" t="inlineStr">
        <is>
          <t>150-5370-10H.pdf</t>
        </is>
      </c>
      <c r="C204" s="2" t="n">
        <v>355</v>
      </c>
      <c r="D204" s="2" t="n">
        <v>2</v>
      </c>
      <c r="E204" s="2" t="inlineStr">
        <is>
          <t>Part 7 – Rigid Pavement</t>
        </is>
      </c>
      <c r="F204" s="2" t="inlineStr">
        <is>
          <t>Nē</t>
        </is>
      </c>
      <c r="G204" s="2" t="n"/>
    </row>
    <row r="205">
      <c r="A205" s="2" t="inlineStr">
        <is>
          <t>150-5370-10H-P0355-003</t>
        </is>
      </c>
      <c r="B205" s="2" t="inlineStr">
        <is>
          <t>150-5370-10H.pdf</t>
        </is>
      </c>
      <c r="C205" s="2" t="n">
        <v>355</v>
      </c>
      <c r="D205" s="2" t="n">
        <v>3</v>
      </c>
      <c r="E205" s="2" t="inlineStr">
        <is>
          <t>Item P-501 Cement Concrete Pavement</t>
        </is>
      </c>
      <c r="F205" s="2" t="inlineStr">
        <is>
          <t>Nē</t>
        </is>
      </c>
      <c r="G205" s="2" t="n"/>
    </row>
    <row r="206">
      <c r="A206" s="2" t="inlineStr">
        <is>
          <t>150-5370-10H-P0355-004</t>
        </is>
      </c>
      <c r="B206" s="2" t="inlineStr">
        <is>
          <t>150-5370-10H.pdf</t>
        </is>
      </c>
      <c r="C206" s="2" t="n">
        <v>355</v>
      </c>
      <c r="D206" s="2" t="n">
        <v>4</v>
      </c>
      <c r="E206" s="2" t="inlineStr">
        <is>
          <t>This specification is to be used for the surface course for airfield rigid pavements subject to aircraft loadings greater than 30,000 pounds.</t>
        </is>
      </c>
      <c r="F206" s="2" t="inlineStr">
        <is>
          <t>Nē</t>
        </is>
      </c>
      <c r="G206" s="2" t="n"/>
    </row>
    <row r="207">
      <c r="A207" s="2" t="inlineStr">
        <is>
          <t>150-5370-10H-P0355-005</t>
        </is>
      </c>
      <c r="B207" s="2" t="inlineStr">
        <is>
          <t>150-5370-10H.pdf</t>
        </is>
      </c>
      <c r="C207" s="2" t="n">
        <v>355</v>
      </c>
      <c r="D207" s="2" t="n">
        <v>5</v>
      </c>
      <c r="E207" s="2" t="inlineStr">
        <is>
          <t>For airfield pavement projects at non primary airports, serving aircraft less than 60,000 pounds (27216 kg), state highway specifications may be used in states where the state has requested and received FAA approval to use state highway specifications.</t>
        </is>
      </c>
      <c r="F207" s="2" t="inlineStr">
        <is>
          <t>Nē</t>
        </is>
      </c>
      <c r="G207" s="2" t="n"/>
    </row>
    <row r="208">
      <c r="A208" s="2" t="inlineStr">
        <is>
          <t>150-5370-10H-P0355-006</t>
        </is>
      </c>
      <c r="B208" s="2" t="inlineStr">
        <is>
          <t>150-5370-10H.pdf</t>
        </is>
      </c>
      <c r="C208" s="2" t="n">
        <v>355</v>
      </c>
      <c r="D208" s="2" t="n">
        <v>6</v>
      </c>
      <c r="E208" s="2" t="inlineStr">
        <is>
          <t>State highway department material specifications may be used for access roads, perimeter roads, and other pavements subject to aircraft loading less than or equal to 30,000 pounds.</t>
        </is>
      </c>
      <c r="F208" s="2" t="inlineStr">
        <is>
          <t>Nē</t>
        </is>
      </c>
      <c r="G208" s="2" t="n"/>
    </row>
    <row r="209">
      <c r="A209" s="2" t="inlineStr">
        <is>
          <t>150-5370-10H-P0355-007</t>
        </is>
      </c>
      <c r="B209" s="2" t="inlineStr">
        <is>
          <t>150-5370-10H.pdf</t>
        </is>
      </c>
      <c r="C209" s="2" t="n">
        <v>355</v>
      </c>
      <c r="D209" s="2" t="n">
        <v>7</v>
      </c>
      <c r="E209" s="2" t="inlineStr">
        <is>
          <t>When state highway material specifications are used, include all applicable/approved state specifications in the contract documents.</t>
        </is>
      </c>
      <c r="F209" s="2" t="inlineStr">
        <is>
          <t>Nē</t>
        </is>
      </c>
      <c r="G209" s="2" t="n"/>
    </row>
    <row r="210">
      <c r="A210" s="2" t="inlineStr">
        <is>
          <t>150-5370-10H-P0355-008</t>
        </is>
      </c>
      <c r="B210" s="2" t="inlineStr">
        <is>
          <t>150-5370-10H.pdf</t>
        </is>
      </c>
      <c r="C210" s="2" t="n">
        <v>355</v>
      </c>
      <c r="D210" s="2" t="n">
        <v>8</v>
      </c>
      <c r="E210" s="2" t="inlineStr">
        <is>
          <t>State specifications must include the material requirements of paragraph 501-2.1 for reactivity.</t>
        </is>
      </c>
      <c r="F210" s="2" t="inlineStr">
        <is>
          <t>Nē</t>
        </is>
      </c>
      <c r="G210" s="2" t="n"/>
    </row>
    <row r="211">
      <c r="A211" s="2" t="inlineStr">
        <is>
          <t>150-5370-10H-P0355-009</t>
        </is>
      </c>
      <c r="B211" s="2" t="inlineStr">
        <is>
          <t>150-5370-10H.pdf</t>
        </is>
      </c>
      <c r="C211" s="2" t="n">
        <v>355</v>
      </c>
      <c r="D211" s="2" t="n">
        <v>9</v>
      </c>
      <c r="E211" s="2" t="inlineStr">
        <is>
          <t>DESCRIPTION</t>
        </is>
      </c>
      <c r="F211" s="2" t="inlineStr">
        <is>
          <t>Nē</t>
        </is>
      </c>
      <c r="G211" s="2" t="n"/>
    </row>
    <row r="212">
      <c r="A212" s="2" t="inlineStr">
        <is>
          <t>150-5370-10H-P0355-010</t>
        </is>
      </c>
      <c r="B212" s="2" t="inlineStr">
        <is>
          <t>150-5370-10H.pdf</t>
        </is>
      </c>
      <c r="C212" s="2" t="n">
        <v>355</v>
      </c>
      <c r="D212" s="2" t="n">
        <v>10</v>
      </c>
      <c r="E212" s="2" t="inlineStr">
        <is>
          <t>501-1.1 This work shall consist of pavement composed of cement concrete [ with reinforcement ] [ without reinforcement ] constructed on a prepared underlying surface in accordance with these specifications and shall conform to the lines, grades, thickness, and typical cross-sections shown on the plans.</t>
        </is>
      </c>
      <c r="F212" s="2" t="inlineStr">
        <is>
          <t>Nē</t>
        </is>
      </c>
      <c r="G212" s="2" t="n"/>
    </row>
    <row r="213">
      <c r="A213" s="2" t="inlineStr">
        <is>
          <t>150-5370-10H-P0355-011</t>
        </is>
      </c>
      <c r="B213" s="2" t="inlineStr">
        <is>
          <t>150-5370-10H.pdf</t>
        </is>
      </c>
      <c r="C213" s="2" t="n">
        <v>355</v>
      </c>
      <c r="D213" s="2" t="n">
        <v>11</v>
      </c>
      <c r="E213" s="2" t="inlineStr">
        <is>
          <t>The terms cement concrete, hydraulic cement concrete, and concrete are interchangeable in this specification.</t>
        </is>
      </c>
      <c r="F213" s="2" t="inlineStr">
        <is>
          <t>Nē</t>
        </is>
      </c>
      <c r="G213" s="2" t="n"/>
    </row>
    <row r="214">
      <c r="A214" s="2" t="inlineStr">
        <is>
          <t>150-5370-10H-P0355-012</t>
        </is>
      </c>
      <c r="B214" s="2" t="inlineStr">
        <is>
          <t>150-5370-10H.pdf</t>
        </is>
      </c>
      <c r="C214" s="2" t="n">
        <v>355</v>
      </c>
      <c r="D214" s="2" t="n">
        <v>12</v>
      </c>
      <c r="E214" s="2" t="inlineStr">
        <is>
          <t>The Engineer shall specify with or without reinforcement.</t>
        </is>
      </c>
      <c r="F214" s="2" t="inlineStr">
        <is>
          <t>Nē</t>
        </is>
      </c>
      <c r="G214" s="2" t="n"/>
    </row>
    <row r="215">
      <c r="A215" s="2" t="inlineStr">
        <is>
          <t>150-5370-10H-P0355-013</t>
        </is>
      </c>
      <c r="B215" s="2" t="inlineStr">
        <is>
          <t>150-5370-10H.pdf</t>
        </is>
      </c>
      <c r="C215" s="2" t="n">
        <v>355</v>
      </c>
      <c r="D215" s="2" t="n">
        <v>13</v>
      </c>
      <c r="E215" s="2" t="inlineStr">
        <is>
          <t>Item P-610, Cement Concrete shall be used for sign bases and other formed concrete structures.</t>
        </is>
      </c>
      <c r="F215" s="2" t="inlineStr">
        <is>
          <t>Nē</t>
        </is>
      </c>
      <c r="G215" s="2" t="n"/>
    </row>
    <row r="216">
      <c r="A216" s="2" t="inlineStr">
        <is>
          <t>150-5370-10H-P0355-014</t>
        </is>
      </c>
      <c r="B216" s="2" t="inlineStr">
        <is>
          <t>150-5370-10H.pdf</t>
        </is>
      </c>
      <c r="C216" s="2" t="n">
        <v>355</v>
      </c>
      <c r="D216" s="2" t="n">
        <v>14</v>
      </c>
      <c r="E216" s="2" t="inlineStr">
        <is>
          <t>The dimensions and depth of the concrete shall be as defined by the Engineer’s pavement design performed in accordance with advisory circular (AC) 150/5320-6, Airport Pavement Design and Evaluation and FAARFIELD.</t>
        </is>
      </c>
      <c r="F216" s="2" t="inlineStr">
        <is>
          <t>Nē</t>
        </is>
      </c>
      <c r="G216" s="2" t="n"/>
    </row>
    <row r="217">
      <c r="A217" s="2" t="inlineStr">
        <is>
          <t>150-5370-10H-P0355-015</t>
        </is>
      </c>
      <c r="B217" s="2" t="inlineStr">
        <is>
          <t>150-5370-10H.pdf</t>
        </is>
      </c>
      <c r="C217" s="2" t="n">
        <v>355</v>
      </c>
      <c r="D217" s="2" t="n">
        <v>15</v>
      </c>
      <c r="E217" s="2" t="inlineStr">
        <is>
          <t>The current version of FAARFIELD is available at: www.faa.gov/airports/engineering/design_software/</t>
        </is>
      </c>
      <c r="F217" s="2" t="inlineStr">
        <is>
          <t>Nē</t>
        </is>
      </c>
      <c r="G217" s="2" t="n"/>
    </row>
    <row r="218">
      <c r="A218" s="2" t="inlineStr">
        <is>
          <t>150-5370-10H-P0355-016</t>
        </is>
      </c>
      <c r="B218" s="2" t="inlineStr">
        <is>
          <t>150-5370-10H.pdf</t>
        </is>
      </c>
      <c r="C218" s="2" t="n">
        <v>355</v>
      </c>
      <c r="D218" s="2" t="n">
        <v>16</v>
      </c>
      <c r="E218" s="2" t="inlineStr">
        <is>
          <t>MATERIALS</t>
        </is>
      </c>
      <c r="F218" s="2" t="inlineStr">
        <is>
          <t>Nē</t>
        </is>
      </c>
      <c r="G218" s="2" t="n"/>
    </row>
    <row r="219">
      <c r="A219" s="2" t="inlineStr">
        <is>
          <t>150-5370-10H-P0355-017</t>
        </is>
      </c>
      <c r="B219" s="2" t="inlineStr">
        <is>
          <t>150-5370-10H.pdf</t>
        </is>
      </c>
      <c r="C219" s="2" t="n">
        <v>355</v>
      </c>
      <c r="D219" s="2" t="n">
        <v>17</v>
      </c>
      <c r="E219" s="2" t="inlineStr">
        <is>
          <t>501-2.1 Aggregates.</t>
        </is>
      </c>
      <c r="F219" s="2" t="inlineStr">
        <is>
          <t>Nē</t>
        </is>
      </c>
      <c r="G219" s="2" t="n"/>
    </row>
    <row r="220">
      <c r="A220" s="2" t="inlineStr">
        <is>
          <t>150-5370-10H-P0355-018</t>
        </is>
      </c>
      <c r="B220" s="2" t="inlineStr">
        <is>
          <t>150-5370-10H.pdf</t>
        </is>
      </c>
      <c r="C220" s="2" t="n">
        <v>355</v>
      </c>
      <c r="D220" s="2" t="n">
        <v>18</v>
      </c>
      <c r="E220" s="2" t="inlineStr">
        <is>
          <t>a. Reactivity.</t>
        </is>
      </c>
      <c r="F220" s="2" t="inlineStr">
        <is>
          <t>Nē</t>
        </is>
      </c>
      <c r="G220" s="2" t="n"/>
    </row>
    <row r="221">
      <c r="A221" s="2" t="inlineStr">
        <is>
          <t>150-5370-10H-P0355-019</t>
        </is>
      </c>
      <c r="B221" s="2" t="inlineStr">
        <is>
          <t>150-5370-10H.pdf</t>
        </is>
      </c>
      <c r="C221" s="2" t="n">
        <v>355</v>
      </c>
      <c r="D221" s="2" t="n">
        <v>19</v>
      </c>
      <c r="E221" s="2" t="inlineStr">
        <is>
          <t>Fine and Coarse aggregates to be used in PCC on this project shall be tested and evaluated by the Contractor for alkali-aggregate reactivity in accordance with both ASTM C1260 and</t>
        </is>
      </c>
      <c r="F221" s="2" t="inlineStr">
        <is>
          <t>Nē</t>
        </is>
      </c>
      <c r="G221" s="2" t="n"/>
    </row>
    <row r="222">
      <c r="A222" s="2" t="inlineStr">
        <is>
          <t>150-5370-10H-P0355-020</t>
        </is>
      </c>
      <c r="B222" s="2" t="inlineStr">
        <is>
          <t>150-5370-10H.pdf</t>
        </is>
      </c>
      <c r="C222" s="2" t="n">
        <v>355</v>
      </c>
      <c r="D222" s="2" t="n">
        <v>20</v>
      </c>
      <c r="E222" s="2" t="inlineStr">
        <is>
          <t>Item P-501 Cement Concrete Pavement 347</t>
        </is>
      </c>
      <c r="F222" s="2" t="inlineStr">
        <is>
          <t>Nē</t>
        </is>
      </c>
      <c r="G222" s="2" t="n"/>
    </row>
    <row r="223">
      <c r="A223" s="2" t="inlineStr">
        <is>
          <t>150-5370-10H-P0450-001</t>
        </is>
      </c>
      <c r="B223" s="2" t="inlineStr">
        <is>
          <t>150-5370-10H.pdf</t>
        </is>
      </c>
      <c r="C223" s="2" t="n">
        <v>450</v>
      </c>
      <c r="D223" s="2" t="n">
        <v>1</v>
      </c>
      <c r="E223" s="2" t="inlineStr">
        <is>
          <t>12/21/2018 AC 150/5370-10H</t>
        </is>
      </c>
      <c r="F223" s="2" t="inlineStr">
        <is>
          <t>Nē</t>
        </is>
      </c>
      <c r="G223" s="2" t="n"/>
    </row>
    <row r="224">
      <c r="A224" s="2" t="inlineStr">
        <is>
          <t>150-5370-10H-P0450-002</t>
        </is>
      </c>
      <c r="B224" s="2" t="inlineStr">
        <is>
          <t>150-5370-10H.pdf</t>
        </is>
      </c>
      <c r="C224" s="2" t="n">
        <v>450</v>
      </c>
      <c r="D224" s="2" t="n">
        <v>2</v>
      </c>
      <c r="E224" s="2" t="inlineStr">
        <is>
          <t>Application Rate</t>
        </is>
      </c>
      <c r="F224" s="2" t="inlineStr">
        <is>
          <t>Nē</t>
        </is>
      </c>
      <c r="G224" s="2" t="n"/>
    </row>
    <row r="225">
      <c r="A225" s="2" t="inlineStr">
        <is>
          <t>150-5370-10H-P0450-003</t>
        </is>
      </c>
      <c r="B225" s="2" t="inlineStr">
        <is>
          <t>150-5370-10H.pdf</t>
        </is>
      </c>
      <c r="C225" s="2" t="n">
        <v>450</v>
      </c>
      <c r="D225" s="2" t="n">
        <v>3</v>
      </c>
      <c r="E225" s="2" t="inlineStr">
        <is>
          <t>Aggregate Composition i Application Rate ii lb/yd2 Type lbs/gal (kg/l) (kg/m2) 22-24 8 A</t>
        </is>
      </c>
      <c r="F225" s="2" t="inlineStr">
        <is>
          <t>Nē</t>
        </is>
      </c>
      <c r="G225" s="2" t="n"/>
    </row>
    <row r="226">
      <c r="A226" s="2" t="inlineStr">
        <is>
          <t>150-5370-10H-P0450-004</t>
        </is>
      </c>
      <c r="B226" s="2" t="inlineStr">
        <is>
          <t>150-5370-10H.pdf</t>
        </is>
      </c>
      <c r="C226" s="2" t="n">
        <v>450</v>
      </c>
      <c r="D226" s="2" t="n">
        <v>4</v>
      </c>
      <c r="E226" s="2" t="inlineStr">
        <is>
          <t>(2.63-2.87) (4.34) 20-22 6.5 B</t>
        </is>
      </c>
      <c r="F226" s="2" t="inlineStr">
        <is>
          <t>Nē</t>
        </is>
      </c>
      <c r="G226" s="2" t="n"/>
    </row>
    <row r="227">
      <c r="A227" s="2" t="inlineStr">
        <is>
          <t>150-5370-10H-P0450-005</t>
        </is>
      </c>
      <c r="B227" s="2" t="inlineStr">
        <is>
          <t>150-5370-10H.pdf</t>
        </is>
      </c>
      <c r="C227" s="2" t="n">
        <v>450</v>
      </c>
      <c r="D227" s="2" t="n">
        <v>5</v>
      </c>
      <c r="E227" s="2" t="inlineStr">
        <is>
          <t>(2.39-2.63) (3.53) i.</t>
        </is>
      </c>
      <c r="F227" s="2" t="inlineStr">
        <is>
          <t>Nē</t>
        </is>
      </c>
      <c r="G227" s="2" t="n"/>
    </row>
    <row r="228">
      <c r="A228" s="2" t="inlineStr">
        <is>
          <t>150-5370-10H-P0450-006</t>
        </is>
      </c>
      <c r="B228" s="2" t="inlineStr">
        <is>
          <t>150-5370-10H.pdf</t>
        </is>
      </c>
      <c r="C228" s="2" t="n">
        <v>450</v>
      </c>
      <c r="D228" s="2" t="n">
        <v>6</v>
      </c>
      <c r="E228" s="2" t="inlineStr">
        <is>
          <t>Aggregate (lbs) shall be mixed homogeneously with the thermoplastic coal tar emulsion (gals). ii.</t>
        </is>
      </c>
      <c r="F228" s="2" t="inlineStr">
        <is>
          <t>Nē</t>
        </is>
      </c>
      <c r="G228" s="2" t="n"/>
    </row>
    <row r="229">
      <c r="A229" s="2" t="inlineStr">
        <is>
          <t>150-5370-10H-P0450-007</t>
        </is>
      </c>
      <c r="B229" s="2" t="inlineStr">
        <is>
          <t>150-5370-10H.pdf</t>
        </is>
      </c>
      <c r="C229" s="2" t="n">
        <v>450</v>
      </c>
      <c r="D229" s="2" t="n">
        <v>7</v>
      </c>
      <c r="E229" s="2" t="inlineStr">
        <is>
          <t>Minimum application rate of uncured thermoplastic coal tar emulsion micro- surface.</t>
        </is>
      </c>
      <c r="F229" s="2" t="inlineStr">
        <is>
          <t>Nē</t>
        </is>
      </c>
      <c r="G229" s="2" t="n"/>
    </row>
    <row r="230">
      <c r="A230" s="2" t="inlineStr">
        <is>
          <t>150-5370-10H-P0450-008</t>
        </is>
      </c>
      <c r="B230" s="2" t="inlineStr">
        <is>
          <t>150-5370-10H.pdf</t>
        </is>
      </c>
      <c r="C230" s="2" t="n">
        <v>450</v>
      </c>
      <c r="D230" s="2" t="n">
        <v>8</v>
      </c>
      <c r="E230" s="2" t="inlineStr">
        <is>
          <t>629-3.2 Aggregate.</t>
        </is>
      </c>
      <c r="F230" s="2" t="inlineStr">
        <is>
          <t>Nē</t>
        </is>
      </c>
      <c r="G230" s="2" t="n"/>
    </row>
    <row r="231">
      <c r="A231" s="2" t="inlineStr">
        <is>
          <t>150-5370-10H-P0450-009</t>
        </is>
      </c>
      <c r="B231" s="2" t="inlineStr">
        <is>
          <t>150-5370-10H.pdf</t>
        </is>
      </c>
      <c r="C231" s="2" t="n">
        <v>450</v>
      </c>
      <c r="D231" s="2" t="n">
        <v>9</v>
      </c>
      <c r="E231" s="2" t="inlineStr">
        <is>
          <t>The aggregate shall consist of sound, durable crushed igneous type stone (crushed basalt, granite, trap rock, etc.), be free from films of matter that would prevent thorough coating and bonding with the asphalt material and free from coatings of clay, organic matter, and other deleterious materials.</t>
        </is>
      </c>
      <c r="F231" s="2" t="inlineStr">
        <is>
          <t>Nē</t>
        </is>
      </c>
      <c r="G231" s="2" t="n"/>
    </row>
    <row r="232">
      <c r="A232" s="2" t="inlineStr">
        <is>
          <t>150-5370-10H-P0450-010</t>
        </is>
      </c>
      <c r="B232" s="2" t="inlineStr">
        <is>
          <t>150-5370-10H.pdf</t>
        </is>
      </c>
      <c r="C232" s="2" t="n">
        <v>450</v>
      </c>
      <c r="D232" s="2" t="n">
        <v>10</v>
      </c>
      <c r="E232" s="2" t="inlineStr">
        <is>
          <t>The percentage of wear shall not be greater than 35% when tested in accordance with ASTM C131.</t>
        </is>
      </c>
      <c r="F232" s="2" t="inlineStr">
        <is>
          <t>Nē</t>
        </is>
      </c>
      <c r="G232" s="2" t="n"/>
    </row>
    <row r="233">
      <c r="A233" s="2" t="inlineStr">
        <is>
          <t>150-5370-10H-P0450-011</t>
        </is>
      </c>
      <c r="B233" s="2" t="inlineStr">
        <is>
          <t>150-5370-10H.pdf</t>
        </is>
      </c>
      <c r="C233" s="2" t="n">
        <v>450</v>
      </c>
      <c r="D233" s="2" t="n">
        <v>11</v>
      </c>
      <c r="E233" s="2" t="inlineStr">
        <is>
          <t>The aggregate shall meet the gradation in the table below for Type A and for Type B when tested in accordance with ASTM C136.</t>
        </is>
      </c>
      <c r="F233" s="2" t="inlineStr">
        <is>
          <t>Nē</t>
        </is>
      </c>
      <c r="G233" s="2" t="n"/>
    </row>
    <row r="234">
      <c r="A234" s="2" t="inlineStr">
        <is>
          <t>150-5370-10H-P0450-012</t>
        </is>
      </c>
      <c r="B234" s="2" t="inlineStr">
        <is>
          <t>150-5370-10H.pdf</t>
        </is>
      </c>
      <c r="C234" s="2" t="n">
        <v>450</v>
      </c>
      <c r="D234" s="2" t="n">
        <v>12</v>
      </c>
      <c r="E234" s="2" t="inlineStr">
        <is>
          <t>The Contractor shall provide a certification showing particle size analysis and properties of the material delivered for use on the project.</t>
        </is>
      </c>
      <c r="F234" s="2" t="inlineStr">
        <is>
          <t>Jā</t>
        </is>
      </c>
      <c r="G234" s="2" t="n"/>
    </row>
    <row r="235">
      <c r="A235" s="2" t="inlineStr">
        <is>
          <t>150-5370-10H-P0450-013</t>
        </is>
      </c>
      <c r="B235" s="2" t="inlineStr">
        <is>
          <t>150-5370-10H.pdf</t>
        </is>
      </c>
      <c r="C235" s="2" t="n">
        <v>450</v>
      </c>
      <c r="D235" s="2" t="n">
        <v>13</v>
      </c>
      <c r="E235" s="2" t="inlineStr">
        <is>
          <t>Aggregate Material Gradation Requirements</t>
        </is>
      </c>
      <c r="F235" s="2" t="inlineStr">
        <is>
          <t>Nē</t>
        </is>
      </c>
      <c r="G235" s="2" t="n"/>
    </row>
    <row r="236">
      <c r="A236" s="2" t="inlineStr">
        <is>
          <t>150-5370-10H-P0450-014</t>
        </is>
      </c>
      <c r="B236" s="2" t="inlineStr">
        <is>
          <t>150-5370-10H.pdf</t>
        </is>
      </c>
      <c r="C236" s="2" t="n">
        <v>450</v>
      </c>
      <c r="D236" s="2" t="n">
        <v>14</v>
      </c>
      <c r="E236" s="2" t="inlineStr">
        <is>
          <t>Sieve Designation Percentage by Weight (square openings) Passing Sieves</t>
        </is>
      </c>
      <c r="F236" s="2" t="inlineStr">
        <is>
          <t>Nē</t>
        </is>
      </c>
      <c r="G236" s="2" t="n"/>
    </row>
    <row r="237">
      <c r="A237" s="2" t="inlineStr">
        <is>
          <t>150-5370-10H-P0450-015</t>
        </is>
      </c>
      <c r="B237" s="2" t="inlineStr">
        <is>
          <t>150-5370-10H.pdf</t>
        </is>
      </c>
      <c r="C237" s="2" t="n">
        <v>450</v>
      </c>
      <c r="D237" s="2" t="n">
        <v>15</v>
      </c>
      <c r="E237" s="2" t="inlineStr">
        <is>
          <t>Type A Type B No.</t>
        </is>
      </c>
      <c r="F237" s="2" t="inlineStr">
        <is>
          <t>Nē</t>
        </is>
      </c>
      <c r="G237" s="2" t="n"/>
    </row>
    <row r="238">
      <c r="A238" s="2" t="inlineStr">
        <is>
          <t>150-5370-10H-P0450-016</t>
        </is>
      </c>
      <c r="B238" s="2" t="inlineStr">
        <is>
          <t>150-5370-10H.pdf</t>
        </is>
      </c>
      <c r="C238" s="2" t="n">
        <v>450</v>
      </c>
      <c r="D238" s="2" t="n">
        <v>16</v>
      </c>
      <c r="E238" s="2" t="inlineStr">
        <is>
          <t>4 (4.75 mm) 100 100 No.</t>
        </is>
      </c>
      <c r="F238" s="2" t="inlineStr">
        <is>
          <t>Nē</t>
        </is>
      </c>
      <c r="G238" s="2" t="n"/>
    </row>
    <row r="239">
      <c r="A239" s="2" t="inlineStr">
        <is>
          <t>150-5370-10H-P0450-017</t>
        </is>
      </c>
      <c r="B239" s="2" t="inlineStr">
        <is>
          <t>150-5370-10H.pdf</t>
        </is>
      </c>
      <c r="C239" s="2" t="n">
        <v>450</v>
      </c>
      <c r="D239" s="2" t="n">
        <v>17</v>
      </c>
      <c r="E239" s="2" t="inlineStr">
        <is>
          <t>8 (2.36 mm) 75-95 95-100 No.</t>
        </is>
      </c>
      <c r="F239" s="2" t="inlineStr">
        <is>
          <t>Nē</t>
        </is>
      </c>
      <c r="G239" s="2" t="n"/>
    </row>
    <row r="240">
      <c r="A240" s="2" t="inlineStr">
        <is>
          <t>150-5370-10H-P0450-018</t>
        </is>
      </c>
      <c r="B240" s="2" t="inlineStr">
        <is>
          <t>150-5370-10H.pdf</t>
        </is>
      </c>
      <c r="C240" s="2" t="n">
        <v>450</v>
      </c>
      <c r="D240" s="2" t="n">
        <v>18</v>
      </c>
      <c r="E240" s="2" t="inlineStr">
        <is>
          <t>16 (1.18 mm) 50-75 65-95 No.</t>
        </is>
      </c>
      <c r="F240" s="2" t="inlineStr">
        <is>
          <t>Nē</t>
        </is>
      </c>
      <c r="G240" s="2" t="n"/>
    </row>
    <row r="241">
      <c r="A241" s="2" t="inlineStr">
        <is>
          <t>150-5370-10H-P0450-019</t>
        </is>
      </c>
      <c r="B241" s="2" t="inlineStr">
        <is>
          <t>150-5370-10H.pdf</t>
        </is>
      </c>
      <c r="C241" s="2" t="n">
        <v>450</v>
      </c>
      <c r="D241" s="2" t="n">
        <v>19</v>
      </c>
      <c r="E241" s="2" t="inlineStr">
        <is>
          <t>30 (600 µm) 30-65 35-65 No.</t>
        </is>
      </c>
      <c r="F241" s="2" t="inlineStr">
        <is>
          <t>Nē</t>
        </is>
      </c>
      <c r="G241" s="2" t="n"/>
    </row>
    <row r="242">
      <c r="A242" s="2" t="inlineStr">
        <is>
          <t>150-5370-10H-P0450-020</t>
        </is>
      </c>
      <c r="B242" s="2" t="inlineStr">
        <is>
          <t>150-5370-10H.pdf</t>
        </is>
      </c>
      <c r="C242" s="2" t="n">
        <v>450</v>
      </c>
      <c r="D242" s="2" t="n">
        <v>20</v>
      </c>
      <c r="E242" s="2" t="inlineStr">
        <is>
          <t>50 (300 µm) 20-50 20-45 No.</t>
        </is>
      </c>
      <c r="F242" s="2" t="inlineStr">
        <is>
          <t>Nē</t>
        </is>
      </c>
      <c r="G242" s="2" t="n"/>
    </row>
    <row r="243">
      <c r="A243" s="2" t="inlineStr">
        <is>
          <t>150-5370-10H-P0450-021</t>
        </is>
      </c>
      <c r="B243" s="2" t="inlineStr">
        <is>
          <t>150-5370-10H.pdf</t>
        </is>
      </c>
      <c r="C243" s="2" t="n">
        <v>450</v>
      </c>
      <c r="D243" s="2" t="n">
        <v>21</v>
      </c>
      <c r="E243" s="2" t="inlineStr">
        <is>
          <t>100 (150 µm) 15-25 5-20 No.</t>
        </is>
      </c>
      <c r="F243" s="2" t="inlineStr">
        <is>
          <t>Nē</t>
        </is>
      </c>
      <c r="G243" s="2" t="n"/>
    </row>
    <row r="244">
      <c r="A244" s="2" t="inlineStr">
        <is>
          <t>150-5370-10H-P0450-022</t>
        </is>
      </c>
      <c r="B244" s="2" t="inlineStr">
        <is>
          <t>150-5370-10H.pdf</t>
        </is>
      </c>
      <c r="C244" s="2" t="n">
        <v>450</v>
      </c>
      <c r="D244" s="2" t="n">
        <v>22</v>
      </c>
      <c r="E244" s="2" t="inlineStr">
        <is>
          <t>200 (75 µm) 5-20 0-20</t>
        </is>
      </c>
      <c r="F244" s="2" t="inlineStr">
        <is>
          <t>Nē</t>
        </is>
      </c>
      <c r="G244" s="2" t="n"/>
    </row>
    <row r="245">
      <c r="A245" s="2" t="inlineStr">
        <is>
          <t>150-5370-10H-P0450-023</t>
        </is>
      </c>
      <c r="B245" s="2" t="inlineStr">
        <is>
          <t>150-5370-10H.pdf</t>
        </is>
      </c>
      <c r="C245" s="2" t="n">
        <v>450</v>
      </c>
      <c r="D245" s="2" t="n">
        <v>23</v>
      </c>
      <c r="E245" s="2" t="inlineStr">
        <is>
          <t>629-3.3 Application</t>
        </is>
      </c>
      <c r="F245" s="2" t="inlineStr">
        <is>
          <t>Nē</t>
        </is>
      </c>
      <c r="G245" s="2" t="n"/>
    </row>
    <row r="246">
      <c r="A246" s="2" t="inlineStr">
        <is>
          <t>150-5370-10H-P0450-024</t>
        </is>
      </c>
      <c r="B246" s="2" t="inlineStr">
        <is>
          <t>150-5370-10H.pdf</t>
        </is>
      </c>
      <c r="C246" s="2" t="n">
        <v>450</v>
      </c>
      <c r="D246" s="2" t="n">
        <v>24</v>
      </c>
      <c r="E246" s="2" t="inlineStr">
        <is>
          <t>a. Application of primer coat.</t>
        </is>
      </c>
      <c r="F246" s="2" t="inlineStr">
        <is>
          <t>Nē</t>
        </is>
      </c>
      <c r="G246" s="2" t="n"/>
    </row>
    <row r="247">
      <c r="A247" s="2" t="inlineStr">
        <is>
          <t>150-5370-10H-P0450-025</t>
        </is>
      </c>
      <c r="B247" s="2" t="inlineStr">
        <is>
          <t>150-5370-10H.pdf</t>
        </is>
      </c>
      <c r="C247" s="2" t="n">
        <v>450</v>
      </c>
      <c r="D247" s="2" t="n">
        <v>25</v>
      </c>
      <c r="E247" s="2" t="inlineStr">
        <is>
          <t>After preparation of the pavement and acceptance by the RPR, the primer coat shall be applied to the pavement surface only where micro-surface will be applied.</t>
        </is>
      </c>
      <c r="F247" s="2" t="inlineStr">
        <is>
          <t>Nē</t>
        </is>
      </c>
      <c r="G247" s="2" t="n"/>
    </row>
    <row r="248">
      <c r="A248" s="2" t="inlineStr">
        <is>
          <t>150-5370-10H-P0450-026</t>
        </is>
      </c>
      <c r="B248" s="2" t="inlineStr">
        <is>
          <t>150-5370-10H.pdf</t>
        </is>
      </c>
      <c r="C248" s="2" t="n">
        <v>450</v>
      </c>
      <c r="D248" s="2" t="n">
        <v>26</v>
      </c>
      <c r="E248" s="2" t="inlineStr">
        <is>
          <t>Apply a tack primer coat of thermoplastic coal tar emulsion diluted with 50% water at the rate of 0.10 gallons of mix per square yard (0.45 l/m2).</t>
        </is>
      </c>
      <c r="F248" s="2" t="inlineStr">
        <is>
          <t>Nē</t>
        </is>
      </c>
      <c r="G248" s="2" t="n"/>
    </row>
    <row r="249">
      <c r="A249" s="2" t="inlineStr">
        <is>
          <t>150-5370-10H-P0450-027</t>
        </is>
      </c>
      <c r="B249" s="2" t="inlineStr">
        <is>
          <t>150-5370-10H.pdf</t>
        </is>
      </c>
      <c r="C249" s="2" t="n">
        <v>450</v>
      </c>
      <c r="D249" s="2" t="n">
        <v>27</v>
      </c>
      <c r="E249" s="2" t="inlineStr">
        <is>
          <t>b. Application of micro-surface.</t>
        </is>
      </c>
      <c r="F249" s="2" t="inlineStr">
        <is>
          <t>Nē</t>
        </is>
      </c>
      <c r="G249" s="2" t="n"/>
    </row>
    <row r="250">
      <c r="A250" s="2" t="inlineStr">
        <is>
          <t>150-5370-10H-P0450-028</t>
        </is>
      </c>
      <c r="B250" s="2" t="inlineStr">
        <is>
          <t>150-5370-10H.pdf</t>
        </is>
      </c>
      <c r="C250" s="2" t="n">
        <v>450</v>
      </c>
      <c r="D250" s="2" t="n">
        <v>28</v>
      </c>
      <c r="E250" s="2" t="inlineStr">
        <is>
          <t>The surface shall be pre-wet by fogging ahead of the spreader box.</t>
        </is>
      </c>
      <c r="F250" s="2" t="inlineStr">
        <is>
          <t>Nē</t>
        </is>
      </c>
      <c r="G250" s="2" t="n"/>
    </row>
    <row r="251">
      <c r="A251" s="2" t="inlineStr">
        <is>
          <t>150-5370-10H-P0450-029</t>
        </is>
      </c>
      <c r="B251" s="2" t="inlineStr">
        <is>
          <t>150-5370-10H.pdf</t>
        </is>
      </c>
      <c r="C251" s="2" t="n">
        <v>450</v>
      </c>
      <c r="D251" s="2" t="n">
        <v>29</v>
      </c>
      <c r="E251" s="2" t="inlineStr">
        <is>
          <t>Water used in pre-wetting the surface shall be applied at such a rate that the entire surface is damp with no apparent flowing water in front of the spreader box.</t>
        </is>
      </c>
      <c r="F251" s="2" t="inlineStr">
        <is>
          <t>Nē</t>
        </is>
      </c>
      <c r="G251" s="2" t="n"/>
    </row>
    <row r="252">
      <c r="A252" s="2" t="inlineStr">
        <is>
          <t>150-5370-10H-P0450-030</t>
        </is>
      </c>
      <c r="B252" s="2" t="inlineStr">
        <is>
          <t>150-5370-10H.pdf</t>
        </is>
      </c>
      <c r="C252" s="2" t="n">
        <v>450</v>
      </c>
      <c r="D252" s="2" t="n">
        <v>30</v>
      </c>
      <c r="E252" s="2" t="inlineStr">
        <is>
          <t>If temperatures are in the colder acceptable range the rate of fogging may be decreased.</t>
        </is>
      </c>
      <c r="F252" s="2" t="inlineStr">
        <is>
          <t>Nē</t>
        </is>
      </c>
      <c r="G252" s="2" t="n"/>
    </row>
    <row r="253">
      <c r="A253" s="2" t="inlineStr">
        <is>
          <t>150-5370-10H-P0450-031</t>
        </is>
      </c>
      <c r="B253" s="2" t="inlineStr">
        <is>
          <t>150-5370-10H.pdf</t>
        </is>
      </c>
      <c r="C253" s="2" t="n">
        <v>450</v>
      </c>
      <c r="D253" s="2" t="n">
        <v>31</v>
      </c>
      <c r="E253" s="2" t="inlineStr">
        <is>
          <t>The mixture shall be of the desired consistency when deposited on the surface, and no additional elements shall be added.</t>
        </is>
      </c>
      <c r="F253" s="2" t="inlineStr">
        <is>
          <t>Nē</t>
        </is>
      </c>
      <c r="G253" s="2" t="n"/>
    </row>
    <row r="254">
      <c r="A254" s="2" t="inlineStr">
        <is>
          <t>150-5370-10H-P0450-032</t>
        </is>
      </c>
      <c r="B254" s="2" t="inlineStr">
        <is>
          <t>150-5370-10H.pdf</t>
        </is>
      </c>
      <c r="C254" s="2" t="n">
        <v>450</v>
      </c>
      <c r="D254" s="2" t="n">
        <v>32</v>
      </c>
      <c r="E254" s="2" t="inlineStr">
        <is>
          <t>A sufficient amount of mixture shall be carried in the spreader box at all times so that even distribution is obtained.</t>
        </is>
      </c>
      <c r="F254" s="2" t="inlineStr">
        <is>
          <t>Nē</t>
        </is>
      </c>
      <c r="G254" s="2" t="n"/>
    </row>
    <row r="255">
      <c r="A255" s="2" t="inlineStr">
        <is>
          <t>150-5370-10H-P0450-033</t>
        </is>
      </c>
      <c r="B255" s="2" t="inlineStr">
        <is>
          <t>150-5370-10H.pdf</t>
        </is>
      </c>
      <c r="C255" s="2" t="n">
        <v>450</v>
      </c>
      <c r="D255" s="2" t="n">
        <v>33</v>
      </c>
      <c r="E255" s="2" t="inlineStr">
        <is>
          <t>No clumped or unmixed aggregate shall be permitted.</t>
        </is>
      </c>
      <c r="F255" s="2" t="inlineStr">
        <is>
          <t>Nē</t>
        </is>
      </c>
      <c r="G255" s="2" t="n"/>
    </row>
    <row r="256">
      <c r="A256" s="2" t="inlineStr">
        <is>
          <t>150-5370-10H-P0450-034</t>
        </is>
      </c>
      <c r="B256" s="2" t="inlineStr">
        <is>
          <t>150-5370-10H.pdf</t>
        </is>
      </c>
      <c r="C256" s="2" t="n">
        <v>450</v>
      </c>
      <c r="D256" s="2" t="n">
        <v>34</v>
      </c>
      <c r="E256" s="2" t="inlineStr">
        <is>
          <t>No segregation of the emulsion and aggregate fines from the coarse aggregate will be permitted.</t>
        </is>
      </c>
      <c r="F256" s="2" t="inlineStr">
        <is>
          <t>Nē</t>
        </is>
      </c>
      <c r="G256" s="2" t="n"/>
    </row>
    <row r="257">
      <c r="A257" s="2" t="inlineStr">
        <is>
          <t>150-5370-10H-P0450-035</t>
        </is>
      </c>
      <c r="B257" s="2" t="inlineStr">
        <is>
          <t>150-5370-10H.pdf</t>
        </is>
      </c>
      <c r="C257" s="2" t="n">
        <v>450</v>
      </c>
      <c r="D257" s="2" t="n">
        <v>35</v>
      </c>
      <c r="E257" s="2" t="inlineStr">
        <is>
          <t>Item P-629 Thermoplastic Coal Tar Emulsion Surface Treatments 442</t>
        </is>
      </c>
      <c r="F257" s="2" t="inlineStr">
        <is>
          <t>Nē</t>
        </is>
      </c>
      <c r="G257" s="2" t="n"/>
    </row>
    <row r="258">
      <c r="A258" s="2" t="inlineStr">
        <is>
          <t>150-5370-10H-P0536-001</t>
        </is>
      </c>
      <c r="B258" s="2" t="inlineStr">
        <is>
          <t>150-5370-10H.pdf</t>
        </is>
      </c>
      <c r="C258" s="2" t="n">
        <v>536</v>
      </c>
      <c r="D258" s="2" t="n">
        <v>1</v>
      </c>
      <c r="E258" s="2" t="inlineStr">
        <is>
          <t>12/21/2018 AC 150/5370-10H</t>
        </is>
      </c>
      <c r="F258" s="2" t="inlineStr">
        <is>
          <t>Nē</t>
        </is>
      </c>
      <c r="G258" s="2" t="n"/>
    </row>
    <row r="259">
      <c r="A259" s="2" t="inlineStr">
        <is>
          <t>150-5370-10H-P0536-002</t>
        </is>
      </c>
      <c r="B259" s="2" t="inlineStr">
        <is>
          <t>150-5370-10H.pdf</t>
        </is>
      </c>
      <c r="C259" s="2" t="n">
        <v>536</v>
      </c>
      <c r="D259" s="2" t="n">
        <v>2</v>
      </c>
      <c r="E259" s="2" t="inlineStr">
        <is>
          <t>Preformed Thermoplastic Bead Gradation</t>
        </is>
      </c>
      <c r="F259" s="2" t="inlineStr">
        <is>
          <t>Nē</t>
        </is>
      </c>
      <c r="G259" s="2" t="n"/>
    </row>
    <row r="260">
      <c r="A260" s="2" t="inlineStr">
        <is>
          <t>150-5370-10H-P0536-003</t>
        </is>
      </c>
      <c r="B260" s="2" t="inlineStr">
        <is>
          <t>150-5370-10H.pdf</t>
        </is>
      </c>
      <c r="C260" s="2" t="n">
        <v>536</v>
      </c>
      <c r="D260" s="2" t="n">
        <v>3</v>
      </c>
      <c r="E260" s="2" t="inlineStr">
        <is>
          <t>Size Gradation Retained, % Passing, % U.S.</t>
        </is>
      </c>
      <c r="F260" s="2" t="inlineStr">
        <is>
          <t>Nē</t>
        </is>
      </c>
      <c r="G260" s="2" t="n"/>
    </row>
    <row r="261">
      <c r="A261" s="2" t="inlineStr">
        <is>
          <t>150-5370-10H-P0536-004</t>
        </is>
      </c>
      <c r="B261" s="2" t="inlineStr">
        <is>
          <t>150-5370-10H.pdf</t>
        </is>
      </c>
      <c r="C261" s="2" t="n">
        <v>536</v>
      </c>
      <c r="D261" s="2" t="n">
        <v>4</v>
      </c>
      <c r="E261" s="2" t="inlineStr">
        <is>
          <t>Mesh μm</t>
        </is>
      </c>
      <c r="F261" s="2" t="inlineStr">
        <is>
          <t>Nē</t>
        </is>
      </c>
      <c r="G261" s="2" t="n"/>
    </row>
    <row r="262">
      <c r="A262" s="2" t="inlineStr">
        <is>
          <t>150-5370-10H-P0536-005</t>
        </is>
      </c>
      <c r="B262" s="2" t="inlineStr">
        <is>
          <t>150-5370-10H.pdf</t>
        </is>
      </c>
      <c r="C262" s="2" t="n">
        <v>536</v>
      </c>
      <c r="D262" s="2" t="n">
        <v>5</v>
      </c>
      <c r="E262" s="2" t="inlineStr">
        <is>
          <t>12 1700 0 - 2 98 - 100</t>
        </is>
      </c>
      <c r="F262" s="2" t="inlineStr">
        <is>
          <t>Nē</t>
        </is>
      </c>
      <c r="G262" s="2" t="n"/>
    </row>
    <row r="263">
      <c r="A263" s="2" t="inlineStr">
        <is>
          <t>150-5370-10H-P0536-006</t>
        </is>
      </c>
      <c r="B263" s="2" t="inlineStr">
        <is>
          <t>150-5370-10H.pdf</t>
        </is>
      </c>
      <c r="C263" s="2" t="n">
        <v>536</v>
      </c>
      <c r="D263" s="2" t="n">
        <v>6</v>
      </c>
      <c r="E263" s="2" t="inlineStr">
        <is>
          <t>14 1400 0 - 3.5 96.5 - 100</t>
        </is>
      </c>
      <c r="F263" s="2" t="inlineStr">
        <is>
          <t>Nē</t>
        </is>
      </c>
      <c r="G263" s="2" t="n"/>
    </row>
    <row r="264">
      <c r="A264" s="2" t="inlineStr">
        <is>
          <t>150-5370-10H-P0536-007</t>
        </is>
      </c>
      <c r="B264" s="2" t="inlineStr">
        <is>
          <t>150-5370-10H.pdf</t>
        </is>
      </c>
      <c r="C264" s="2" t="n">
        <v>536</v>
      </c>
      <c r="D264" s="2" t="n">
        <v>7</v>
      </c>
      <c r="E264" s="2" t="inlineStr">
        <is>
          <t>16 1180 2 - 25 75 - 98</t>
        </is>
      </c>
      <c r="F264" s="2" t="inlineStr">
        <is>
          <t>Nē</t>
        </is>
      </c>
      <c r="G264" s="2" t="n"/>
    </row>
    <row r="265">
      <c r="A265" s="2" t="inlineStr">
        <is>
          <t>150-5370-10H-P0536-008</t>
        </is>
      </c>
      <c r="B265" s="2" t="inlineStr">
        <is>
          <t>150-5370-10H.pdf</t>
        </is>
      </c>
      <c r="C265" s="2" t="n">
        <v>536</v>
      </c>
      <c r="D265" s="2" t="n">
        <v>8</v>
      </c>
      <c r="E265" s="2" t="inlineStr">
        <is>
          <t>18 1000 28 - 63 37 - 72</t>
        </is>
      </c>
      <c r="F265" s="2" t="inlineStr">
        <is>
          <t>Nē</t>
        </is>
      </c>
      <c r="G265" s="2" t="n"/>
    </row>
    <row r="266">
      <c r="A266" s="2" t="inlineStr">
        <is>
          <t>150-5370-10H-P0536-009</t>
        </is>
      </c>
      <c r="B266" s="2" t="inlineStr">
        <is>
          <t>150-5370-10H.pdf</t>
        </is>
      </c>
      <c r="C266" s="2" t="n">
        <v>536</v>
      </c>
      <c r="D266" s="2" t="n">
        <v>9</v>
      </c>
      <c r="E266" s="2" t="inlineStr">
        <is>
          <t>20 850 63 - 72 28 - 37</t>
        </is>
      </c>
      <c r="F266" s="2" t="inlineStr">
        <is>
          <t>Nē</t>
        </is>
      </c>
      <c r="G266" s="2" t="n"/>
    </row>
    <row r="267">
      <c r="A267" s="2" t="inlineStr">
        <is>
          <t>150-5370-10H-P0536-010</t>
        </is>
      </c>
      <c r="B267" s="2" t="inlineStr">
        <is>
          <t>150-5370-10H.pdf</t>
        </is>
      </c>
      <c r="C267" s="2" t="n">
        <v>536</v>
      </c>
      <c r="D267" s="2" t="n">
        <v>10</v>
      </c>
      <c r="E267" s="2" t="inlineStr">
        <is>
          <t>30 600 67 - 77 23 - 33</t>
        </is>
      </c>
      <c r="F267" s="2" t="inlineStr">
        <is>
          <t>Nē</t>
        </is>
      </c>
      <c r="G267" s="2" t="n"/>
    </row>
    <row r="268">
      <c r="A268" s="2" t="inlineStr">
        <is>
          <t>150-5370-10H-P0536-011</t>
        </is>
      </c>
      <c r="B268" s="2" t="inlineStr">
        <is>
          <t>150-5370-10H.pdf</t>
        </is>
      </c>
      <c r="C268" s="2" t="n">
        <v>536</v>
      </c>
      <c r="D268" s="2" t="n">
        <v>11</v>
      </c>
      <c r="E268" s="2" t="inlineStr">
        <is>
          <t>50 300 89 - 95 5 - 11</t>
        </is>
      </c>
      <c r="F268" s="2" t="inlineStr">
        <is>
          <t>Nē</t>
        </is>
      </c>
      <c r="G268" s="2" t="n"/>
    </row>
    <row r="269">
      <c r="A269" s="2" t="inlineStr">
        <is>
          <t>150-5370-10H-P0536-012</t>
        </is>
      </c>
      <c r="B269" s="2" t="inlineStr">
        <is>
          <t>150-5370-10H.pdf</t>
        </is>
      </c>
      <c r="C269" s="2" t="n">
        <v>536</v>
      </c>
      <c r="D269" s="2" t="n">
        <v>12</v>
      </c>
      <c r="E269" s="2" t="inlineStr">
        <is>
          <t>80 200 97 - 100 0 - 3</t>
        </is>
      </c>
      <c r="F269" s="2" t="inlineStr">
        <is>
          <t>Nē</t>
        </is>
      </c>
      <c r="G269" s="2" t="n"/>
    </row>
    <row r="270">
      <c r="A270" s="2" t="inlineStr">
        <is>
          <t>150-5370-10H-P0536-013</t>
        </is>
      </c>
      <c r="B270" s="2" t="inlineStr">
        <is>
          <t>150-5370-10H.pdf</t>
        </is>
      </c>
      <c r="C270" s="2" t="n">
        <v>536</v>
      </c>
      <c r="D270" s="2" t="n">
        <v>13</v>
      </c>
      <c r="E270" s="2" t="inlineStr">
        <is>
          <t>(3) Heating indicators.</t>
        </is>
      </c>
      <c r="F270" s="2" t="inlineStr">
        <is>
          <t>Nē</t>
        </is>
      </c>
      <c r="G270" s="2" t="n"/>
    </row>
    <row r="271">
      <c r="A271" s="2" t="inlineStr">
        <is>
          <t>150-5370-10H-P0536-014</t>
        </is>
      </c>
      <c r="B271" s="2" t="inlineStr">
        <is>
          <t>150-5370-10H.pdf</t>
        </is>
      </c>
      <c r="C271" s="2" t="n">
        <v>536</v>
      </c>
      <c r="D271" s="2" t="n">
        <v>14</v>
      </c>
      <c r="E271" s="2" t="inlineStr">
        <is>
          <t>The material manufacturer shall provide a method to indicate that the material has achieved satisfactory adhesion and proper bead embedment during application and that the installation procedures have been followed.</t>
        </is>
      </c>
      <c r="F271" s="2" t="inlineStr">
        <is>
          <t>Nē</t>
        </is>
      </c>
      <c r="G271" s="2" t="n"/>
    </row>
    <row r="272">
      <c r="A272" s="2" t="inlineStr">
        <is>
          <t>150-5370-10H-P0536-015</t>
        </is>
      </c>
      <c r="B272" s="2" t="inlineStr">
        <is>
          <t>150-5370-10H.pdf</t>
        </is>
      </c>
      <c r="C272" s="2" t="n">
        <v>536</v>
      </c>
      <c r="D272" s="2" t="n">
        <v>15</v>
      </c>
      <c r="E272" s="2" t="inlineStr">
        <is>
          <t>(4) Pigments.</t>
        </is>
      </c>
      <c r="F272" s="2" t="inlineStr">
        <is>
          <t>Nē</t>
        </is>
      </c>
      <c r="G272" s="2" t="n"/>
    </row>
    <row r="273">
      <c r="A273" s="2" t="inlineStr">
        <is>
          <t>150-5370-10H-P0536-016</t>
        </is>
      </c>
      <c r="B273" s="2" t="inlineStr">
        <is>
          <t>150-5370-10H.pdf</t>
        </is>
      </c>
      <c r="C273" s="2" t="n">
        <v>536</v>
      </c>
      <c r="D273" s="2" t="n">
        <v>16</v>
      </c>
      <c r="E273" s="2" t="inlineStr">
        <is>
          <t>Percent by weight.</t>
        </is>
      </c>
      <c r="F273" s="2" t="inlineStr">
        <is>
          <t>Nē</t>
        </is>
      </c>
      <c r="G273" s="2" t="n"/>
    </row>
    <row r="274">
      <c r="A274" s="2" t="inlineStr">
        <is>
          <t>150-5370-10H-P0536-017</t>
        </is>
      </c>
      <c r="B274" s="2" t="inlineStr">
        <is>
          <t>150-5370-10H.pdf</t>
        </is>
      </c>
      <c r="C274" s="2" t="n">
        <v>536</v>
      </c>
      <c r="D274" s="2" t="n">
        <v>17</v>
      </c>
      <c r="E274" s="2" t="inlineStr">
        <is>
          <t>(a) White:  Titanium Dioxide, ASTM D476, type II shall be 10% minimum.</t>
        </is>
      </c>
      <c r="F274" s="2" t="inlineStr">
        <is>
          <t>Nē</t>
        </is>
      </c>
      <c r="G274" s="2" t="n"/>
    </row>
    <row r="275">
      <c r="A275" s="2" t="inlineStr">
        <is>
          <t>150-5370-10H-P0536-018</t>
        </is>
      </c>
      <c r="B275" s="2" t="inlineStr">
        <is>
          <t>150-5370-10H.pdf</t>
        </is>
      </c>
      <c r="C275" s="2" t="n">
        <v>536</v>
      </c>
      <c r="D275" s="2" t="n">
        <v>18</v>
      </c>
      <c r="E275" s="2" t="inlineStr">
        <is>
          <t>(b) Yellow and Colors:  Titanium Dioxide, ASTM D476, type II shall be 1% minimum.  Organic yellow, other colors, and tinting as required to meet color standard.</t>
        </is>
      </c>
      <c r="F275" s="2" t="inlineStr">
        <is>
          <t>Nē</t>
        </is>
      </c>
      <c r="G275" s="2" t="n"/>
    </row>
    <row r="276">
      <c r="A276" s="2" t="inlineStr">
        <is>
          <t>150-5370-10H-P0536-019</t>
        </is>
      </c>
      <c r="B276" s="2" t="inlineStr">
        <is>
          <t>150-5370-10H.pdf</t>
        </is>
      </c>
      <c r="C276" s="2" t="n">
        <v>536</v>
      </c>
      <c r="D276" s="2" t="n">
        <v>19</v>
      </c>
      <c r="E276" s="2" t="inlineStr">
        <is>
          <t>(5) Prohibited materials.</t>
        </is>
      </c>
      <c r="F276" s="2" t="inlineStr">
        <is>
          <t>Nē</t>
        </is>
      </c>
      <c r="G276" s="2" t="n"/>
    </row>
    <row r="277">
      <c r="A277" s="2" t="inlineStr">
        <is>
          <t>150-5370-10H-P0536-020</t>
        </is>
      </c>
      <c r="B277" s="2" t="inlineStr">
        <is>
          <t>150-5370-10H.pdf</t>
        </is>
      </c>
      <c r="C277" s="2" t="n">
        <v>536</v>
      </c>
      <c r="D277" s="2" t="n">
        <v>20</v>
      </c>
      <c r="E277" s="2" t="inlineStr">
        <is>
          <t>The manufacturer shall certify that the product does not contain mercury, lead, hexavalent chromium, halogenated solvents, nor any carcinogen as defined in 29 CFR 1910.1200 in amounts exceeding permissible limits as specified in relevant federal regulations.</t>
        </is>
      </c>
      <c r="F277" s="2" t="inlineStr">
        <is>
          <t>Jā</t>
        </is>
      </c>
      <c r="G277" s="2" t="n"/>
    </row>
    <row r="278">
      <c r="A278" s="2" t="inlineStr">
        <is>
          <t>150-5370-10H-P0536-021</t>
        </is>
      </c>
      <c r="B278" s="2" t="inlineStr">
        <is>
          <t>150-5370-10H.pdf</t>
        </is>
      </c>
      <c r="C278" s="2" t="n">
        <v>536</v>
      </c>
      <c r="D278" s="2" t="n">
        <v>21</v>
      </c>
      <c r="E278" s="2" t="inlineStr">
        <is>
          <t>(6) Daylight directional reflectance.</t>
        </is>
      </c>
      <c r="F278" s="2" t="inlineStr">
        <is>
          <t>Nē</t>
        </is>
      </c>
      <c r="G278" s="2" t="n"/>
    </row>
    <row r="279">
      <c r="A279" s="2" t="inlineStr">
        <is>
          <t>150-5370-10H-P0536-022</t>
        </is>
      </c>
      <c r="B279" s="2" t="inlineStr">
        <is>
          <t>150-5370-10H.pdf</t>
        </is>
      </c>
      <c r="C279" s="2" t="n">
        <v>536</v>
      </c>
      <c r="D279" s="2" t="n">
        <v>22</v>
      </c>
      <c r="E279" s="2" t="inlineStr">
        <is>
          <t>(a) White: The daylight directional reflectance of the white paint shall not be less than 75% (relative to magnesium oxide), when tested in accordance with ASTM E2302.</t>
        </is>
      </c>
      <c r="F279" s="2" t="inlineStr">
        <is>
          <t>Nē</t>
        </is>
      </c>
      <c r="G279" s="2" t="n"/>
    </row>
    <row r="280">
      <c r="A280" s="2" t="inlineStr">
        <is>
          <t>150-5370-10H-P0536-023</t>
        </is>
      </c>
      <c r="B280" s="2" t="inlineStr">
        <is>
          <t>150-5370-10H.pdf</t>
        </is>
      </c>
      <c r="C280" s="2" t="n">
        <v>536</v>
      </c>
      <c r="D280" s="2" t="n">
        <v>23</v>
      </c>
      <c r="E280" s="2" t="inlineStr">
        <is>
          <t>(b) Yellow: The daylight directional reflectance of the yellow paint shall not be less than 45% (relative to magnesium oxide), when tested in accordance with ASTM E2302.</t>
        </is>
      </c>
      <c r="F280" s="2" t="inlineStr">
        <is>
          <t>Nē</t>
        </is>
      </c>
      <c r="G280" s="2" t="n"/>
    </row>
    <row r="281">
      <c r="A281" s="2" t="inlineStr">
        <is>
          <t>150-5370-10H-P0536-024</t>
        </is>
      </c>
      <c r="B281" s="2" t="inlineStr">
        <is>
          <t>150-5370-10H.pdf</t>
        </is>
      </c>
      <c r="C281" s="2" t="n">
        <v>536</v>
      </c>
      <c r="D281" s="2" t="n">
        <v>24</v>
      </c>
      <c r="E281" s="2" t="inlineStr">
        <is>
          <t>The x and y values shall be consistent with the federal Hegman yellow color standard chart for traffic yellow standard 33538, or shall be consistent with the tolerance listed below:</t>
        </is>
      </c>
      <c r="F281" s="2" t="inlineStr">
        <is>
          <t>Nē</t>
        </is>
      </c>
      <c r="G281" s="2" t="n"/>
    </row>
    <row r="282">
      <c r="A282" s="2" t="inlineStr">
        <is>
          <t>150-5370-10H-P0536-025</t>
        </is>
      </c>
      <c r="B282" s="2" t="inlineStr">
        <is>
          <t>150-5370-10H.pdf</t>
        </is>
      </c>
      <c r="C282" s="2" t="n">
        <v>536</v>
      </c>
      <c r="D282" s="2" t="n">
        <v>25</v>
      </c>
      <c r="E282" s="2" t="inlineStr">
        <is>
          <t>x .462 x .470 x .479 x .501 y .438 y .455 y .428 y .452</t>
        </is>
      </c>
      <c r="F282" s="2" t="inlineStr">
        <is>
          <t>Nē</t>
        </is>
      </c>
      <c r="G282" s="2" t="n"/>
    </row>
    <row r="283">
      <c r="A283" s="2" t="inlineStr">
        <is>
          <t>150-5370-10H-P0536-026</t>
        </is>
      </c>
      <c r="B283" s="2" t="inlineStr">
        <is>
          <t>150-5370-10H.pdf</t>
        </is>
      </c>
      <c r="C283" s="2" t="n">
        <v>536</v>
      </c>
      <c r="D283" s="2" t="n">
        <v>26</v>
      </c>
      <c r="E283" s="2" t="inlineStr">
        <is>
          <t>Item P-620 Runway and Taxiway Marking 528</t>
        </is>
      </c>
      <c r="F283" s="2" t="inlineStr">
        <is>
          <t>Nē</t>
        </is>
      </c>
      <c r="G283" s="2" t="n"/>
    </row>
    <row r="284">
      <c r="A284" s="2" t="inlineStr">
        <is>
          <t>150-5370-10H-P0596-001</t>
        </is>
      </c>
      <c r="B284" s="2" t="inlineStr">
        <is>
          <t>150-5370-10H.pdf</t>
        </is>
      </c>
      <c r="C284" s="2" t="n">
        <v>596</v>
      </c>
      <c r="D284" s="2" t="n">
        <v>1</v>
      </c>
      <c r="E284" s="2" t="inlineStr">
        <is>
          <t>12/21/2018 AC 150/5370-10H</t>
        </is>
      </c>
      <c r="F284" s="2" t="inlineStr">
        <is>
          <t>Nē</t>
        </is>
      </c>
      <c r="G284" s="2" t="n"/>
    </row>
    <row r="285">
      <c r="A285" s="2" t="inlineStr">
        <is>
          <t>150-5370-10H-P0596-002</t>
        </is>
      </c>
      <c r="B285" s="2" t="inlineStr">
        <is>
          <t>150-5370-10H.pdf</t>
        </is>
      </c>
      <c r="C285" s="2" t="n">
        <v>596</v>
      </c>
      <c r="D285" s="2" t="n">
        <v>2</v>
      </c>
      <c r="E285" s="2" t="inlineStr">
        <is>
          <t>material.</t>
        </is>
      </c>
      <c r="F285" s="2" t="inlineStr">
        <is>
          <t>Nē</t>
        </is>
      </c>
      <c r="G285" s="2" t="n"/>
    </row>
    <row r="286">
      <c r="A286" s="2" t="inlineStr">
        <is>
          <t>150-5370-10H-P0596-003</t>
        </is>
      </c>
      <c r="B286" s="2" t="inlineStr">
        <is>
          <t>150-5370-10H.pdf</t>
        </is>
      </c>
      <c r="C286" s="2" t="n">
        <v>596</v>
      </c>
      <c r="D286" s="2" t="n">
        <v>3</v>
      </c>
      <c r="E286" s="2" t="inlineStr">
        <is>
          <t>The spacers shall be welded to each bearing bar with four 1- 1/4 inch long by 3/16 inch wide (32 mm long by 5 mm wide) fillet welds on each side of the bearing bar at spacings not exceeding 6 inches (150 mm).</t>
        </is>
      </c>
      <c r="F286" s="2" t="inlineStr">
        <is>
          <t>Nē</t>
        </is>
      </c>
      <c r="G286" s="2" t="n"/>
    </row>
    <row r="287">
      <c r="A287" s="2" t="inlineStr">
        <is>
          <t>150-5370-10H-P0596-004</t>
        </is>
      </c>
      <c r="B287" s="2" t="inlineStr">
        <is>
          <t>150-5370-10H.pdf</t>
        </is>
      </c>
      <c r="C287" s="2" t="n">
        <v>596</v>
      </c>
      <c r="D287" s="2" t="n">
        <v>4</v>
      </c>
      <c r="E287" s="2" t="inlineStr">
        <is>
          <t>The grates shall be 6 inches (150 mm) high or as shown on the plans and shall have a maximum 1-3/4 inch (45 mm) opening in the top.</t>
        </is>
      </c>
      <c r="F287" s="2" t="inlineStr">
        <is>
          <t>Nē</t>
        </is>
      </c>
      <c r="G287" s="2" t="n"/>
    </row>
    <row r="288">
      <c r="A288" s="2" t="inlineStr">
        <is>
          <t>150-5370-10H-P0596-005</t>
        </is>
      </c>
      <c r="B288" s="2" t="inlineStr">
        <is>
          <t>150-5370-10H.pdf</t>
        </is>
      </c>
      <c r="C288" s="2" t="n">
        <v>596</v>
      </c>
      <c r="D288" s="2" t="n">
        <v>5</v>
      </c>
      <c r="E288" s="2" t="inlineStr">
        <is>
          <t>Grates shall be galvanized in accordance with ASTM A123 except with a 2 ounce / square feet (0.61 kg/sq m) galvanized coating.</t>
        </is>
      </c>
      <c r="F288" s="2" t="inlineStr">
        <is>
          <t>Nē</t>
        </is>
      </c>
      <c r="G288" s="2" t="n"/>
    </row>
    <row r="289">
      <c r="A289" s="2" t="inlineStr">
        <is>
          <t>150-5370-10H-P0596-006</t>
        </is>
      </c>
      <c r="B289" s="2" t="inlineStr">
        <is>
          <t>150-5370-10H.pdf</t>
        </is>
      </c>
      <c r="C289" s="2" t="n">
        <v>596</v>
      </c>
      <c r="D289" s="2" t="n">
        <v>6</v>
      </c>
      <c r="E289" s="2" t="inlineStr">
        <is>
          <t>The grates shall be fillet welded to the corrugated steel pipe with a minimum weld one inch (25 mm) long on each side of the grate at every other corrugation.</t>
        </is>
      </c>
      <c r="F289" s="2" t="inlineStr">
        <is>
          <t>Nē</t>
        </is>
      </c>
      <c r="G289" s="2" t="n"/>
    </row>
    <row r="290">
      <c r="A290" s="2" t="inlineStr">
        <is>
          <t>150-5370-10H-P0596-007</t>
        </is>
      </c>
      <c r="B290" s="2" t="inlineStr">
        <is>
          <t>150-5370-10H.pdf</t>
        </is>
      </c>
      <c r="C290" s="2" t="n">
        <v>596</v>
      </c>
      <c r="D290" s="2" t="n">
        <v>7</v>
      </c>
      <c r="E290" s="2" t="inlineStr">
        <is>
          <t>Weld areas and the heat affected zones where the slot is welded to the corrugated pipe shall be thoroughly cleaned and painted with a zinc-rich paint in accordance with repair of damaged coatings in ASTM A760.</t>
        </is>
      </c>
      <c r="F290" s="2" t="inlineStr">
        <is>
          <t>Nē</t>
        </is>
      </c>
      <c r="G290" s="2" t="n"/>
    </row>
    <row r="291">
      <c r="A291" s="2" t="inlineStr">
        <is>
          <t>150-5370-10H-P0596-008</t>
        </is>
      </c>
      <c r="B291" s="2" t="inlineStr">
        <is>
          <t>150-5370-10H.pdf</t>
        </is>
      </c>
      <c r="C291" s="2" t="n">
        <v>596</v>
      </c>
      <c r="D291" s="2" t="n">
        <v>8</v>
      </c>
      <c r="E291" s="2" t="inlineStr">
        <is>
          <t>Each 20-foot (6.1-m) length of drain delivered to the job site shall be within the following tolerances: vertical bow ±3/8 inch (9 mm), horizontal bow ±5/8 inch (16 mm), twist ±1/2 inch (12 mm). ]</t>
        </is>
      </c>
      <c r="F291" s="2" t="inlineStr">
        <is>
          <t>Nē</t>
        </is>
      </c>
      <c r="G291" s="2" t="n"/>
    </row>
    <row r="292">
      <c r="A292" s="2" t="inlineStr">
        <is>
          <t>150-5370-10H-P0596-009</t>
        </is>
      </c>
      <c r="B292" s="2" t="inlineStr">
        <is>
          <t>150-5370-10H.pdf</t>
        </is>
      </c>
      <c r="C292" s="2" t="n">
        <v>596</v>
      </c>
      <c r="D292" s="2" t="n">
        <v>9</v>
      </c>
      <c r="E292" s="2" t="inlineStr">
        <is>
          <t>[ Not used. ]</t>
        </is>
      </c>
      <c r="F292" s="2" t="inlineStr">
        <is>
          <t>Nē</t>
        </is>
      </c>
      <c r="G292" s="2" t="n"/>
    </row>
    <row r="293">
      <c r="A293" s="2" t="inlineStr">
        <is>
          <t>150-5370-10H-P0596-010</t>
        </is>
      </c>
      <c r="B293" s="2" t="inlineStr">
        <is>
          <t>150-5370-10H.pdf</t>
        </is>
      </c>
      <c r="C293" s="2" t="n">
        <v>596</v>
      </c>
      <c r="D293" s="2" t="n">
        <v>10</v>
      </c>
      <c r="E293" s="2" t="inlineStr">
        <is>
          <t>b. Cast iron slotted vane drain.</t>
        </is>
      </c>
      <c r="F293" s="2" t="inlineStr">
        <is>
          <t>Nē</t>
        </is>
      </c>
      <c r="G293" s="2" t="n"/>
    </row>
    <row r="294">
      <c r="A294" s="2" t="inlineStr">
        <is>
          <t>150-5370-10H-P0596-011</t>
        </is>
      </c>
      <c r="B294" s="2" t="inlineStr">
        <is>
          <t>150-5370-10H.pdf</t>
        </is>
      </c>
      <c r="C294" s="2" t="n">
        <v>596</v>
      </c>
      <c r="D294" s="2" t="n">
        <v>11</v>
      </c>
      <c r="E294" s="2" t="inlineStr">
        <is>
          <t>[ Castings shall meet the requirements of ASTM A48, Class 35B gray iron.</t>
        </is>
      </c>
      <c r="F294" s="2" t="inlineStr">
        <is>
          <t>Nē</t>
        </is>
      </c>
      <c r="G294" s="2" t="n"/>
    </row>
    <row r="295">
      <c r="A295" s="2" t="inlineStr">
        <is>
          <t>150-5370-10H-P0596-012</t>
        </is>
      </c>
      <c r="B295" s="2" t="inlineStr">
        <is>
          <t>150-5370-10H.pdf</t>
        </is>
      </c>
      <c r="C295" s="2" t="n">
        <v>596</v>
      </c>
      <c r="D295" s="2" t="n">
        <v>12</v>
      </c>
      <c r="E295" s="2" t="inlineStr">
        <is>
          <t>Castings shall be furnished with no coatings.</t>
        </is>
      </c>
      <c r="F295" s="2" t="inlineStr">
        <is>
          <t>Nē</t>
        </is>
      </c>
      <c r="G295" s="2" t="n"/>
    </row>
    <row r="296">
      <c r="A296" s="2" t="inlineStr">
        <is>
          <t>150-5370-10H-P0596-013</t>
        </is>
      </c>
      <c r="B296" s="2" t="inlineStr">
        <is>
          <t>150-5370-10H.pdf</t>
        </is>
      </c>
      <c r="C296" s="2" t="n">
        <v>596</v>
      </c>
      <c r="D296" s="2" t="n">
        <v>13</v>
      </c>
      <c r="E296" s="2" t="inlineStr">
        <is>
          <t>Castings shall be designed to fit on open slots in 15 inch (38 cm) PVC pipe.</t>
        </is>
      </c>
      <c r="F296" s="2" t="inlineStr">
        <is>
          <t>Nē</t>
        </is>
      </c>
      <c r="G296" s="2" t="n"/>
    </row>
    <row r="297">
      <c r="A297" s="2" t="inlineStr">
        <is>
          <t>150-5370-10H-P0596-014</t>
        </is>
      </c>
      <c r="B297" s="2" t="inlineStr">
        <is>
          <t>150-5370-10H.pdf</t>
        </is>
      </c>
      <c r="C297" s="2" t="n">
        <v>596</v>
      </c>
      <c r="D297" s="2" t="n">
        <v>14</v>
      </c>
      <c r="E297" s="2" t="inlineStr">
        <is>
          <t>Casting sections shall not exceed 3 feet (1 m) in length.</t>
        </is>
      </c>
      <c r="F297" s="2" t="inlineStr">
        <is>
          <t>Nē</t>
        </is>
      </c>
      <c r="G297" s="2" t="n"/>
    </row>
    <row r="298">
      <c r="A298" s="2" t="inlineStr">
        <is>
          <t>150-5370-10H-P0596-015</t>
        </is>
      </c>
      <c r="B298" s="2" t="inlineStr">
        <is>
          <t>150-5370-10H.pdf</t>
        </is>
      </c>
      <c r="C298" s="2" t="n">
        <v>596</v>
      </c>
      <c r="D298" s="2" t="n">
        <v>15</v>
      </c>
      <c r="E298" s="2" t="inlineStr">
        <is>
          <t>Casting sections shall have a built-in vane configuration with bar spacings not exceeding 6 inches (150 mm).</t>
        </is>
      </c>
      <c r="F298" s="2" t="inlineStr">
        <is>
          <t>Nē</t>
        </is>
      </c>
      <c r="G298" s="2" t="n"/>
    </row>
    <row r="299">
      <c r="A299" s="2" t="inlineStr">
        <is>
          <t>150-5370-10H-P0596-016</t>
        </is>
      </c>
      <c r="B299" s="2" t="inlineStr">
        <is>
          <t>150-5370-10H.pdf</t>
        </is>
      </c>
      <c r="C299" s="2" t="n">
        <v>596</v>
      </c>
      <c r="D299" s="2" t="n">
        <v>16</v>
      </c>
      <c r="E299" s="2" t="inlineStr">
        <is>
          <t>The opening at the surface shall not exceed 3-3/4 inch (95 mm), and the vane shall be constructed on a radius so that the opening shall be less than 1-1/2 inch (38 mm) at a depth of 1-1/2 inch (38 mm) as measured vertically from the surface.</t>
        </is>
      </c>
      <c r="F299" s="2" t="inlineStr">
        <is>
          <t>Nē</t>
        </is>
      </c>
      <c r="G299" s="2" t="n"/>
    </row>
    <row r="300">
      <c r="A300" s="2" t="inlineStr">
        <is>
          <t>150-5370-10H-P0596-017</t>
        </is>
      </c>
      <c r="B300" s="2" t="inlineStr">
        <is>
          <t>150-5370-10H.pdf</t>
        </is>
      </c>
      <c r="C300" s="2" t="n">
        <v>596</v>
      </c>
      <c r="D300" s="2" t="n">
        <v>17</v>
      </c>
      <c r="E300" s="2" t="inlineStr">
        <is>
          <t>Casting sections shall integrally lock into the concrete by use of top and bottoms flanges and shear tabs.</t>
        </is>
      </c>
      <c r="F300" s="2" t="inlineStr">
        <is>
          <t>Nē</t>
        </is>
      </c>
      <c r="G300" s="2" t="n"/>
    </row>
    <row r="301">
      <c r="A301" s="2" t="inlineStr">
        <is>
          <t>150-5370-10H-P0596-018</t>
        </is>
      </c>
      <c r="B301" s="2" t="inlineStr">
        <is>
          <t>150-5370-10H.pdf</t>
        </is>
      </c>
      <c r="C301" s="2" t="n">
        <v>596</v>
      </c>
      <c r="D301" s="2" t="n">
        <v>18</v>
      </c>
      <c r="E301" s="2" t="inlineStr">
        <is>
          <t>Castings shall accept bolts for bolting sections together and shall accept wire for fitting to pipe. ]</t>
        </is>
      </c>
      <c r="F301" s="2" t="inlineStr">
        <is>
          <t>Nē</t>
        </is>
      </c>
      <c r="G301" s="2" t="n"/>
    </row>
    <row r="302">
      <c r="A302" s="2" t="inlineStr">
        <is>
          <t>150-5370-10H-P0596-019</t>
        </is>
      </c>
      <c r="B302" s="2" t="inlineStr">
        <is>
          <t>150-5370-10H.pdf</t>
        </is>
      </c>
      <c r="C302" s="2" t="n">
        <v>596</v>
      </c>
      <c r="D302" s="2" t="n">
        <v>19</v>
      </c>
      <c r="E302" s="2" t="inlineStr">
        <is>
          <t>Standard details can be found in American Association of State Highway and Transportation Officials (AASHTO) AGC-ARTBA publication “A Guide to Standardized Highway Drainage Products.” All products used shall meet the most demanding aircraft loading and tire pressure requirements, as well as maintenance equipment loadings.</t>
        </is>
      </c>
      <c r="F302" s="2" t="inlineStr">
        <is>
          <t>Nē</t>
        </is>
      </c>
      <c r="G302" s="2" t="n"/>
    </row>
    <row r="303">
      <c r="A303" s="2" t="inlineStr">
        <is>
          <t>150-5370-10H-P0596-020</t>
        </is>
      </c>
      <c r="B303" s="2" t="inlineStr">
        <is>
          <t>150-5370-10H.pdf</t>
        </is>
      </c>
      <c r="C303" s="2" t="n">
        <v>596</v>
      </c>
      <c r="D303" s="2" t="n">
        <v>20</v>
      </c>
      <c r="E303" s="2" t="inlineStr">
        <is>
          <t>702-2.4 Concrete.</t>
        </is>
      </c>
      <c r="F303" s="2" t="inlineStr">
        <is>
          <t>Nē</t>
        </is>
      </c>
      <c r="G303" s="2" t="n"/>
    </row>
    <row r="304">
      <c r="A304" s="2" t="inlineStr">
        <is>
          <t>150-5370-10H-P0596-021</t>
        </is>
      </c>
      <c r="B304" s="2" t="inlineStr">
        <is>
          <t>150-5370-10H.pdf</t>
        </is>
      </c>
      <c r="C304" s="2" t="n">
        <v>596</v>
      </c>
      <c r="D304" s="2" t="n">
        <v>21</v>
      </c>
      <c r="E304" s="2" t="inlineStr">
        <is>
          <t>Concrete shall have a minimum compressive strength of 3,000 psi (20.7 MPa) at 28days when tested in accordance with ASTM C39.</t>
        </is>
      </c>
      <c r="F304" s="2" t="inlineStr">
        <is>
          <t>Nē</t>
        </is>
      </c>
      <c r="G304" s="2" t="n"/>
    </row>
    <row r="305">
      <c r="A305" s="2" t="inlineStr">
        <is>
          <t>150-5370-10H-P0596-022</t>
        </is>
      </c>
      <c r="B305" s="2" t="inlineStr">
        <is>
          <t>150-5370-10H.pdf</t>
        </is>
      </c>
      <c r="C305" s="2" t="n">
        <v>596</v>
      </c>
      <c r="D305" s="2" t="n">
        <v>22</v>
      </c>
      <c r="E305" s="2" t="inlineStr">
        <is>
          <t>Concrete used shall conform to the requirements of Item P-610.</t>
        </is>
      </c>
      <c r="F305" s="2" t="inlineStr">
        <is>
          <t>Nē</t>
        </is>
      </c>
      <c r="G305" s="2" t="n"/>
    </row>
    <row r="306">
      <c r="A306" s="2" t="inlineStr">
        <is>
          <t>150-5370-10H-P0596-023</t>
        </is>
      </c>
      <c r="B306" s="2" t="inlineStr">
        <is>
          <t>150-5370-10H.pdf</t>
        </is>
      </c>
      <c r="C306" s="2" t="n">
        <v>596</v>
      </c>
      <c r="D306" s="2" t="n">
        <v>23</v>
      </c>
      <c r="E306" s="2" t="inlineStr">
        <is>
          <t>Item D-702 Slotted Drains 588</t>
        </is>
      </c>
      <c r="F306" s="2" t="inlineStr">
        <is>
          <t>Nē</t>
        </is>
      </c>
      <c r="G306" s="2" t="n"/>
    </row>
    <row r="307">
      <c r="A307" s="2" t="inlineStr">
        <is>
          <t>150-5370-10H-P0633-001</t>
        </is>
      </c>
      <c r="B307" s="2" t="inlineStr">
        <is>
          <t>150-5370-10H.pdf</t>
        </is>
      </c>
      <c r="C307" s="2" t="n">
        <v>633</v>
      </c>
      <c r="D307" s="2" t="n">
        <v>1</v>
      </c>
      <c r="E307" s="2" t="inlineStr">
        <is>
          <t>12/21/2018 AC 150/5370-10H</t>
        </is>
      </c>
      <c r="F307" s="2" t="inlineStr">
        <is>
          <t>Nē</t>
        </is>
      </c>
      <c r="G307" s="2" t="n"/>
    </row>
    <row r="308">
      <c r="A308" s="2" t="inlineStr">
        <is>
          <t>150-5370-10H-P0633-002</t>
        </is>
      </c>
      <c r="B308" s="2" t="inlineStr">
        <is>
          <t>150-5370-10H.pdf</t>
        </is>
      </c>
      <c r="C308" s="2" t="n">
        <v>633</v>
      </c>
      <c r="D308" s="2" t="n">
        <v>2</v>
      </c>
      <c r="E308" s="2" t="inlineStr">
        <is>
          <t>ASTM International (ASTM)</t>
        </is>
      </c>
      <c r="F308" s="2" t="inlineStr">
        <is>
          <t>Nē</t>
        </is>
      </c>
      <c r="G308" s="2" t="n"/>
    </row>
    <row r="309">
      <c r="A309" s="2" t="inlineStr">
        <is>
          <t>150-5370-10H-P0633-003</t>
        </is>
      </c>
      <c r="B309" s="2" t="inlineStr">
        <is>
          <t>150-5370-10H.pdf</t>
        </is>
      </c>
      <c r="C309" s="2" t="n">
        <v>633</v>
      </c>
      <c r="D309" s="2" t="n">
        <v>3</v>
      </c>
      <c r="E309" s="2" t="inlineStr">
        <is>
          <t>ASTM C602 Standard Specification for Agricultural Liming Materials</t>
        </is>
      </c>
      <c r="F309" s="2" t="inlineStr">
        <is>
          <t>Nē</t>
        </is>
      </c>
      <c r="G309" s="2" t="n"/>
    </row>
    <row r="310">
      <c r="A310" s="2" t="inlineStr">
        <is>
          <t>150-5370-10H-P0633-004</t>
        </is>
      </c>
      <c r="B310" s="2" t="inlineStr">
        <is>
          <t>150-5370-10H.pdf</t>
        </is>
      </c>
      <c r="C310" s="2" t="n">
        <v>633</v>
      </c>
      <c r="D310" s="2" t="n">
        <v>4</v>
      </c>
      <c r="E310" s="2" t="inlineStr">
        <is>
          <t>Advisory Circulars (AC)</t>
        </is>
      </c>
      <c r="F310" s="2" t="inlineStr">
        <is>
          <t>Nē</t>
        </is>
      </c>
      <c r="G310" s="2" t="n"/>
    </row>
    <row r="311">
      <c r="A311" s="2" t="inlineStr">
        <is>
          <t>150-5370-10H-P0633-005</t>
        </is>
      </c>
      <c r="B311" s="2" t="inlineStr">
        <is>
          <t>150-5370-10H.pdf</t>
        </is>
      </c>
      <c r="C311" s="2" t="n">
        <v>633</v>
      </c>
      <c r="D311" s="2" t="n">
        <v>5</v>
      </c>
      <c r="E311" s="2" t="inlineStr">
        <is>
          <t>AC 150/5200-33 Hazardous Wildlife Attractants on or Near Airports</t>
        </is>
      </c>
      <c r="F311" s="2" t="inlineStr">
        <is>
          <t>Nē</t>
        </is>
      </c>
      <c r="G311" s="2" t="n"/>
    </row>
    <row r="312">
      <c r="A312" s="2" t="inlineStr">
        <is>
          <t>150-5370-10H-P0633-006</t>
        </is>
      </c>
      <c r="B312" s="2" t="inlineStr">
        <is>
          <t>150-5370-10H.pdf</t>
        </is>
      </c>
      <c r="C312" s="2" t="n">
        <v>633</v>
      </c>
      <c r="D312" s="2" t="n">
        <v>6</v>
      </c>
      <c r="E312" s="2" t="inlineStr">
        <is>
          <t>FAA/United States Department of Agriculture</t>
        </is>
      </c>
      <c r="F312" s="2" t="inlineStr">
        <is>
          <t>Nē</t>
        </is>
      </c>
      <c r="G312" s="2" t="n"/>
    </row>
    <row r="313">
      <c r="A313" s="2" t="inlineStr">
        <is>
          <t>150-5370-10H-P0633-007</t>
        </is>
      </c>
      <c r="B313" s="2" t="inlineStr">
        <is>
          <t>150-5370-10H.pdf</t>
        </is>
      </c>
      <c r="C313" s="2" t="n">
        <v>633</v>
      </c>
      <c r="D313" s="2" t="n">
        <v>7</v>
      </c>
      <c r="E313" s="2" t="inlineStr">
        <is>
          <t>Wildlife Hazard Management at Airports, A Manual for Airport Personnel</t>
        </is>
      </c>
      <c r="F313" s="2" t="inlineStr">
        <is>
          <t>Nē</t>
        </is>
      </c>
      <c r="G313" s="2" t="n"/>
    </row>
    <row r="314">
      <c r="A314" s="2" t="inlineStr">
        <is>
          <t>150-5370-10H-P0633-008</t>
        </is>
      </c>
      <c r="B314" s="2" t="inlineStr">
        <is>
          <t>150-5370-10H.pdf</t>
        </is>
      </c>
      <c r="C314" s="2" t="n">
        <v>633</v>
      </c>
      <c r="D314" s="2" t="n">
        <v>8</v>
      </c>
      <c r="E314" s="2" t="inlineStr">
        <is>
          <t>END OF ITEM T-903</t>
        </is>
      </c>
      <c r="F314" s="2" t="inlineStr">
        <is>
          <t>Nē</t>
        </is>
      </c>
      <c r="G314" s="2" t="n"/>
    </row>
    <row r="315">
      <c r="A315" s="2" t="inlineStr">
        <is>
          <t>150-5370-10H-P0633-009</t>
        </is>
      </c>
      <c r="B315" s="2" t="inlineStr">
        <is>
          <t>150-5370-10H.pdf</t>
        </is>
      </c>
      <c r="C315" s="2" t="n">
        <v>633</v>
      </c>
      <c r="D315" s="2" t="n">
        <v>9</v>
      </c>
      <c r="E315" s="2" t="inlineStr">
        <is>
          <t>Item T-903 Sprigging 625</t>
        </is>
      </c>
      <c r="F315" s="2" t="inlineStr">
        <is>
          <t>Nē</t>
        </is>
      </c>
      <c r="G315" s="2" t="n"/>
    </row>
    <row r="316">
      <c r="A316" s="2" t="inlineStr">
        <is>
          <t>150-5370-10H-P0641-001</t>
        </is>
      </c>
      <c r="B316" s="2" t="inlineStr">
        <is>
          <t>150-5370-10H.pdf</t>
        </is>
      </c>
      <c r="C316" s="2" t="n">
        <v>641</v>
      </c>
      <c r="D316" s="2" t="n">
        <v>1</v>
      </c>
      <c r="E316" s="2" t="inlineStr">
        <is>
          <t>12/21/2018 AC 150/5370-10H</t>
        </is>
      </c>
      <c r="F316" s="2" t="inlineStr">
        <is>
          <t>Nē</t>
        </is>
      </c>
      <c r="G316" s="2" t="n"/>
    </row>
    <row r="317">
      <c r="A317" s="2" t="inlineStr">
        <is>
          <t>150-5370-10H-P0641-002</t>
        </is>
      </c>
      <c r="B317" s="2" t="inlineStr">
        <is>
          <t>150-5370-10H.pdf</t>
        </is>
      </c>
      <c r="C317" s="2" t="n">
        <v>641</v>
      </c>
      <c r="D317" s="2" t="n">
        <v>2</v>
      </c>
      <c r="E317" s="2" t="inlineStr">
        <is>
          <t>Item T-905 Topsoil</t>
        </is>
      </c>
      <c r="F317" s="2" t="inlineStr">
        <is>
          <t>Nē</t>
        </is>
      </c>
      <c r="G317" s="2" t="n"/>
    </row>
    <row r="318">
      <c r="A318" s="2" t="inlineStr">
        <is>
          <t>150-5370-10H-P0641-003</t>
        </is>
      </c>
      <c r="B318" s="2" t="inlineStr">
        <is>
          <t>150-5370-10H.pdf</t>
        </is>
      </c>
      <c r="C318" s="2" t="n">
        <v>641</v>
      </c>
      <c r="D318" s="2" t="n">
        <v>3</v>
      </c>
      <c r="E318" s="2" t="inlineStr">
        <is>
          <t>Wildlife Hazard Attractants and Mitigation: Through the appropriate selection of turf materials for the project(s), the Engineer must address the elimination and/or mitigation of materials that could attract hazardous wildlife on and/or around an airport.</t>
        </is>
      </c>
      <c r="F318" s="2" t="inlineStr">
        <is>
          <t>Nē</t>
        </is>
      </c>
      <c r="G318" s="2" t="n"/>
    </row>
    <row r="319">
      <c r="A319" s="2" t="inlineStr">
        <is>
          <t>150-5370-10H-P0641-004</t>
        </is>
      </c>
      <c r="B319" s="2" t="inlineStr">
        <is>
          <t>150-5370-10H.pdf</t>
        </is>
      </c>
      <c r="C319" s="2" t="n">
        <v>641</v>
      </c>
      <c r="D319" s="2" t="n">
        <v>4</v>
      </c>
      <c r="E319" s="2" t="inlineStr">
        <is>
          <t>The Engineer should refer to the following documents and sites for guidance on wildlife hazards at Airports for all projects:</t>
        </is>
      </c>
      <c r="F319" s="2" t="inlineStr">
        <is>
          <t>Nē</t>
        </is>
      </c>
      <c r="G319" s="2" t="n"/>
    </row>
    <row r="320">
      <c r="A320" s="2" t="inlineStr">
        <is>
          <t>150-5370-10H-P0641-005</t>
        </is>
      </c>
      <c r="B320" s="2" t="inlineStr">
        <is>
          <t>150-5370-10H.pdf</t>
        </is>
      </c>
      <c r="C320" s="2" t="n">
        <v>641</v>
      </c>
      <c r="D320" s="2" t="n">
        <v>5</v>
      </c>
      <c r="E320" s="2" t="inlineStr">
        <is>
          <t>(1) Advisory circular (AC) 150/5200-33, Hazardous Wildlife Attractants on or Near Airports, contains guidance on certain land uses that have the potential to attract hazardous wildlife on or near airports.</t>
        </is>
      </c>
      <c r="F320" s="2" t="inlineStr">
        <is>
          <t>Nē</t>
        </is>
      </c>
      <c r="G320" s="2" t="n"/>
    </row>
    <row r="321">
      <c r="A321" s="2" t="inlineStr">
        <is>
          <t>150-5370-10H-P0641-006</t>
        </is>
      </c>
      <c r="B321" s="2" t="inlineStr">
        <is>
          <t>150-5370-10H.pdf</t>
        </is>
      </c>
      <c r="C321" s="2" t="n">
        <v>641</v>
      </c>
      <c r="D321" s="2" t="n">
        <v>6</v>
      </c>
      <c r="E321" s="2" t="inlineStr">
        <is>
          <t>The AC is available at: http://www.faa.gov/airports/resources/advisory_circulars/.</t>
        </is>
      </c>
      <c r="F321" s="2" t="inlineStr">
        <is>
          <t>Nē</t>
        </is>
      </c>
      <c r="G321" s="2" t="n"/>
    </row>
    <row r="322">
      <c r="A322" s="2" t="inlineStr">
        <is>
          <t>150-5370-10H-P0641-007</t>
        </is>
      </c>
      <c r="B322" s="2" t="inlineStr">
        <is>
          <t>150-5370-10H.pdf</t>
        </is>
      </c>
      <c r="C322" s="2" t="n">
        <v>641</v>
      </c>
      <c r="D322" s="2" t="n">
        <v>7</v>
      </c>
      <c r="E322" s="2" t="inlineStr">
        <is>
          <t>(2) Wildlife Hazard Management at Airports, A Manual for Airport Personnel, is available at: http://www.faa.gov/airports/airport_safety/wildlife/problem/media/2005_FAA_Man ual_complete.pdf.</t>
        </is>
      </c>
      <c r="F322" s="2" t="inlineStr">
        <is>
          <t>Nē</t>
        </is>
      </c>
      <c r="G322" s="2" t="n"/>
    </row>
    <row r="323">
      <c r="A323" s="2" t="inlineStr">
        <is>
          <t>150-5370-10H-P0641-008</t>
        </is>
      </c>
      <c r="B323" s="2" t="inlineStr">
        <is>
          <t>150-5370-10H.pdf</t>
        </is>
      </c>
      <c r="C323" s="2" t="n">
        <v>641</v>
      </c>
      <c r="D323" s="2" t="n">
        <v>8</v>
      </c>
      <c r="E323" s="2" t="inlineStr">
        <is>
          <t>(3) Additional information on wildlife issues can be found on the FAA Guidance on Wildlife website at: http://www.faa.gov/airports/airport_safety/wildlife/guidance</t>
        </is>
      </c>
      <c r="F323" s="2" t="inlineStr">
        <is>
          <t>Nē</t>
        </is>
      </c>
      <c r="G323" s="2" t="n"/>
    </row>
    <row r="324">
      <c r="A324" s="2" t="inlineStr">
        <is>
          <t>150-5370-10H-P0641-009</t>
        </is>
      </c>
      <c r="B324" s="2" t="inlineStr">
        <is>
          <t>150-5370-10H.pdf</t>
        </is>
      </c>
      <c r="C324" s="2" t="n">
        <v>641</v>
      </c>
      <c r="D324" s="2" t="n">
        <v>9</v>
      </c>
      <c r="E324" s="2" t="inlineStr">
        <is>
          <t>Engineer may specify that topsoil be constructed in accordance with state specifications.</t>
        </is>
      </c>
      <c r="F324" s="2" t="inlineStr">
        <is>
          <t>Nē</t>
        </is>
      </c>
      <c r="G324" s="2" t="n"/>
    </row>
    <row r="325">
      <c r="A325" s="2" t="inlineStr">
        <is>
          <t>150-5370-10H-P0641-010</t>
        </is>
      </c>
      <c r="B325" s="2" t="inlineStr">
        <is>
          <t>150-5370-10H.pdf</t>
        </is>
      </c>
      <c r="C325" s="2" t="n">
        <v>641</v>
      </c>
      <c r="D325" s="2" t="n">
        <v>10</v>
      </c>
      <c r="E325" s="2" t="inlineStr">
        <is>
          <t>All referenced state specifications must be included in project specifications.</t>
        </is>
      </c>
      <c r="F325" s="2" t="inlineStr">
        <is>
          <t>Nē</t>
        </is>
      </c>
      <c r="G325" s="2" t="n"/>
    </row>
    <row r="326">
      <c r="A326" s="2" t="inlineStr">
        <is>
          <t>150-5370-10H-P0641-011</t>
        </is>
      </c>
      <c r="B326" s="2" t="inlineStr">
        <is>
          <t>150-5370-10H.pdf</t>
        </is>
      </c>
      <c r="C326" s="2" t="n">
        <v>641</v>
      </c>
      <c r="D326" s="2" t="n">
        <v>11</v>
      </c>
      <c r="E326" s="2" t="inlineStr">
        <is>
          <t>DESCRIPTION</t>
        </is>
      </c>
      <c r="F326" s="2" t="inlineStr">
        <is>
          <t>Nē</t>
        </is>
      </c>
      <c r="G326" s="2" t="n"/>
    </row>
    <row r="327">
      <c r="A327" s="2" t="inlineStr">
        <is>
          <t>150-5370-10H-P0641-012</t>
        </is>
      </c>
      <c r="B327" s="2" t="inlineStr">
        <is>
          <t>150-5370-10H.pdf</t>
        </is>
      </c>
      <c r="C327" s="2" t="n">
        <v>641</v>
      </c>
      <c r="D327" s="2" t="n">
        <v>12</v>
      </c>
      <c r="E327" s="2" t="inlineStr">
        <is>
          <t>905-1.1 This item shall consist of preparing the ground surface for topsoil application, removing topsoil from designated stockpiles or areas to be stripped on the site or from approved sources off the site, and placing and spreading the topsoil on prepared areas in accordance with this specification at the locations shown on the plans or as directed by the RPR.</t>
        </is>
      </c>
      <c r="F327" s="2" t="inlineStr">
        <is>
          <t>Nē</t>
        </is>
      </c>
      <c r="G327" s="2" t="n"/>
    </row>
    <row r="328">
      <c r="A328" s="2" t="inlineStr">
        <is>
          <t>150-5370-10H-P0641-013</t>
        </is>
      </c>
      <c r="B328" s="2" t="inlineStr">
        <is>
          <t>150-5370-10H.pdf</t>
        </is>
      </c>
      <c r="C328" s="2" t="n">
        <v>641</v>
      </c>
      <c r="D328" s="2" t="n">
        <v>13</v>
      </c>
      <c r="E328" s="2" t="inlineStr">
        <is>
          <t>MATERIALS</t>
        </is>
      </c>
      <c r="F328" s="2" t="inlineStr">
        <is>
          <t>Nē</t>
        </is>
      </c>
      <c r="G328" s="2" t="n"/>
    </row>
    <row r="329">
      <c r="A329" s="2" t="inlineStr">
        <is>
          <t>150-5370-10H-P0641-014</t>
        </is>
      </c>
      <c r="B329" s="2" t="inlineStr">
        <is>
          <t>150-5370-10H.pdf</t>
        </is>
      </c>
      <c r="C329" s="2" t="n">
        <v>641</v>
      </c>
      <c r="D329" s="2" t="n">
        <v>14</v>
      </c>
      <c r="E329" s="2" t="inlineStr">
        <is>
          <t>905-2.1 Topsoil.</t>
        </is>
      </c>
      <c r="F329" s="2" t="inlineStr">
        <is>
          <t>Nē</t>
        </is>
      </c>
      <c r="G329" s="2" t="n"/>
    </row>
    <row r="330">
      <c r="A330" s="2" t="inlineStr">
        <is>
          <t>150-5370-10H-P0641-015</t>
        </is>
      </c>
      <c r="B330" s="2" t="inlineStr">
        <is>
          <t>150-5370-10H.pdf</t>
        </is>
      </c>
      <c r="C330" s="2" t="n">
        <v>641</v>
      </c>
      <c r="D330" s="2" t="n">
        <v>15</v>
      </c>
      <c r="E330" s="2" t="inlineStr">
        <is>
          <t>Topsoil shall be the surface layer of soil with no admixture of refuse or any material toxic to plant growth, and it shall be reasonably free from subsoil and stumps, roots, brush, stones (2 inches (50 mm) or more in diameter), and clay lumps or similar objects.</t>
        </is>
      </c>
      <c r="F330" s="2" t="inlineStr">
        <is>
          <t>Nē</t>
        </is>
      </c>
      <c r="G330" s="2" t="n"/>
    </row>
    <row r="331">
      <c r="A331" s="2" t="inlineStr">
        <is>
          <t>150-5370-10H-P0641-016</t>
        </is>
      </c>
      <c r="B331" s="2" t="inlineStr">
        <is>
          <t>150-5370-10H.pdf</t>
        </is>
      </c>
      <c r="C331" s="2" t="n">
        <v>641</v>
      </c>
      <c r="D331" s="2" t="n">
        <v>16</v>
      </c>
      <c r="E331" s="2" t="inlineStr">
        <is>
          <t>Brush and other vegetation that will not be incorporated with the soil during handling operations shall be cut and removed.</t>
        </is>
      </c>
      <c r="F331" s="2" t="inlineStr">
        <is>
          <t>Nē</t>
        </is>
      </c>
      <c r="G331" s="2" t="n"/>
    </row>
    <row r="332">
      <c r="A332" s="2" t="inlineStr">
        <is>
          <t>150-5370-10H-P0641-017</t>
        </is>
      </c>
      <c r="B332" s="2" t="inlineStr">
        <is>
          <t>150-5370-10H.pdf</t>
        </is>
      </c>
      <c r="C332" s="2" t="n">
        <v>641</v>
      </c>
      <c r="D332" s="2" t="n">
        <v>17</v>
      </c>
      <c r="E332" s="2" t="inlineStr">
        <is>
          <t>Ordinary sod and herbaceous growth such as grass and weeds are not to be removed, but shall be thoroughly broken up and intermixed with the soil during handling operations.</t>
        </is>
      </c>
      <c r="F332" s="2" t="inlineStr">
        <is>
          <t>Nē</t>
        </is>
      </c>
      <c r="G332" s="2" t="n"/>
    </row>
    <row r="333">
      <c r="A333" s="2" t="inlineStr">
        <is>
          <t>150-5370-10H-P0641-018</t>
        </is>
      </c>
      <c r="B333" s="2" t="inlineStr">
        <is>
          <t>150-5370-10H.pdf</t>
        </is>
      </c>
      <c r="C333" s="2" t="n">
        <v>641</v>
      </c>
      <c r="D333" s="2" t="n">
        <v>18</v>
      </c>
      <c r="E333" s="2" t="inlineStr">
        <is>
          <t>Heavy sod or other cover, which cannot be incorporated into the topsoil by discing or other means, shall be removed.</t>
        </is>
      </c>
      <c r="F333" s="2" t="inlineStr">
        <is>
          <t>Nē</t>
        </is>
      </c>
      <c r="G333" s="2" t="n"/>
    </row>
    <row r="334">
      <c r="A334" s="2" t="inlineStr">
        <is>
          <t>150-5370-10H-P0641-019</t>
        </is>
      </c>
      <c r="B334" s="2" t="inlineStr">
        <is>
          <t>150-5370-10H.pdf</t>
        </is>
      </c>
      <c r="C334" s="2" t="n">
        <v>641</v>
      </c>
      <c r="D334" s="2" t="n">
        <v>19</v>
      </c>
      <c r="E334" s="2" t="inlineStr">
        <is>
          <t>The topsoil or soil mixture, unless otherwise specified or approved, shall have a pH range of approximately 5.5 pH to 7.6 pH, when tested in accordance with the methods of testing of the Association of Official Agricultural Chemists in effect on the date of invitation of bids.</t>
        </is>
      </c>
      <c r="F334" s="2" t="inlineStr">
        <is>
          <t>Nē</t>
        </is>
      </c>
      <c r="G334" s="2" t="n"/>
    </row>
    <row r="335">
      <c r="A335" s="2" t="inlineStr">
        <is>
          <t>150-5370-10H-P0641-020</t>
        </is>
      </c>
      <c r="B335" s="2" t="inlineStr">
        <is>
          <t>150-5370-10H.pdf</t>
        </is>
      </c>
      <c r="C335" s="2" t="n">
        <v>641</v>
      </c>
      <c r="D335" s="2" t="n">
        <v>20</v>
      </c>
      <c r="E335" s="2" t="inlineStr">
        <is>
          <t>The organic content shall be not less than 3% nor more than 20% as determined by the wet-combustion method (chromic acid reduction).</t>
        </is>
      </c>
      <c r="F335" s="2" t="inlineStr">
        <is>
          <t>Nē</t>
        </is>
      </c>
      <c r="G335" s="2" t="n"/>
    </row>
    <row r="336">
      <c r="A336" s="2" t="inlineStr">
        <is>
          <t>150-5370-10H-P0641-021</t>
        </is>
      </c>
      <c r="B336" s="2" t="inlineStr">
        <is>
          <t>150-5370-10H.pdf</t>
        </is>
      </c>
      <c r="C336" s="2" t="n">
        <v>641</v>
      </c>
      <c r="D336" s="2" t="n">
        <v>21</v>
      </c>
      <c r="E336" s="2" t="inlineStr">
        <is>
          <t>There shall be not less than 20%</t>
        </is>
      </c>
      <c r="F336" s="2" t="inlineStr">
        <is>
          <t>Nē</t>
        </is>
      </c>
      <c r="G336" s="2" t="n"/>
    </row>
    <row r="337">
      <c r="A337" s="2" t="inlineStr">
        <is>
          <t>150-5370-10H-P0641-022</t>
        </is>
      </c>
      <c r="B337" s="2" t="inlineStr">
        <is>
          <t>150-5370-10H.pdf</t>
        </is>
      </c>
      <c r="C337" s="2" t="n">
        <v>641</v>
      </c>
      <c r="D337" s="2" t="n">
        <v>22</v>
      </c>
      <c r="E337" s="2" t="inlineStr">
        <is>
          <t>Item T-905 Topsoil 633</t>
        </is>
      </c>
      <c r="F337" s="2" t="inlineStr">
        <is>
          <t>Nē</t>
        </is>
      </c>
      <c r="G337" s="2" t="n"/>
    </row>
  </sheetData>
  <autoFilter ref="A1:G337"/>
  <conditionalFormatting sqref="F2:F337">
    <cfRule type="expression" priority="1" dxfId="0">
      <formula>F2="Jā"</formula>
    </cfRule>
    <cfRule type="expression" priority="2" dxfId="1">
      <formula>F2="Nē"</formula>
    </cfRule>
    <cfRule type="expression" priority="3" dxfId="2">
      <formula>F2=""</formula>
    </cfRule>
  </conditionalFormatting>
  <dataValidations count="1">
    <dataValidation sqref="F2:F337" showDropDown="0" showInputMessage="0" showErrorMessage="0" allowBlank="1" errorTitle="SpecTakeoff" error="Izvēlies Jā, Nē vai ?" type="list">
      <formula1>"Jā,Nē,?"</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28" customWidth="1" min="1" max="1"/>
    <col width="8" customWidth="1" min="2" max="2"/>
    <col width="10" customWidth="1" min="3" max="3"/>
    <col width="12" customWidth="1" min="4" max="4"/>
    <col width="10" customWidth="1" min="5" max="5"/>
  </cols>
  <sheetData>
    <row r="1">
      <c r="A1" s="4" t="inlineStr">
        <is>
          <t>Fails</t>
        </is>
      </c>
      <c r="B1" s="4" t="inlineStr">
        <is>
          <t>Lapa</t>
        </is>
      </c>
      <c r="C1" s="4" t="inlineStr">
        <is>
          <t>Rindas</t>
        </is>
      </c>
      <c r="D1" s="4" t="inlineStr">
        <is>
          <t>Atzīmētas</t>
        </is>
      </c>
      <c r="E1" s="4" t="inlineStr">
        <is>
          <t>Gatava?</t>
        </is>
      </c>
    </row>
    <row r="2">
      <c r="A2" t="inlineStr">
        <is>
          <t>150-5370-10H.pdf</t>
        </is>
      </c>
      <c r="B2" t="n">
        <v>59</v>
      </c>
      <c r="C2">
        <f>COUNTIFS(Etalons!B:B,A2,Etalons!C:C,B2)</f>
        <v/>
      </c>
      <c r="D2">
        <f>COUNTIFS(Etalons!B:B,A2,Etalons!C:C,B2,Etalons!F:F,"&lt;&gt;")</f>
        <v/>
      </c>
      <c r="E2">
        <f>IF(D2=C2,"Jā","Nē")</f>
        <v/>
      </c>
    </row>
    <row r="3">
      <c r="A3" t="inlineStr">
        <is>
          <t>150-5370-10H.pdf</t>
        </is>
      </c>
      <c r="B3" t="n">
        <v>114</v>
      </c>
      <c r="C3">
        <f>COUNTIFS(Etalons!B:B,A3,Etalons!C:C,B3)</f>
        <v/>
      </c>
      <c r="D3">
        <f>COUNTIFS(Etalons!B:B,A3,Etalons!C:C,B3,Etalons!F:F,"&lt;&gt;")</f>
        <v/>
      </c>
      <c r="E3">
        <f>IF(D3=C3,"Jā","Nē")</f>
        <v/>
      </c>
    </row>
    <row r="4">
      <c r="A4" t="inlineStr">
        <is>
          <t>150-5370-10H.pdf</t>
        </is>
      </c>
      <c r="B4" t="n">
        <v>162</v>
      </c>
      <c r="C4">
        <f>COUNTIFS(Etalons!B:B,A4,Etalons!C:C,B4)</f>
        <v/>
      </c>
      <c r="D4">
        <f>COUNTIFS(Etalons!B:B,A4,Etalons!C:C,B4,Etalons!F:F,"&lt;&gt;")</f>
        <v/>
      </c>
      <c r="E4">
        <f>IF(D4=C4,"Jā","Nē")</f>
        <v/>
      </c>
    </row>
    <row r="5">
      <c r="A5" t="inlineStr">
        <is>
          <t>150-5370-10H.pdf</t>
        </is>
      </c>
      <c r="B5" t="n">
        <v>181</v>
      </c>
      <c r="C5">
        <f>COUNTIFS(Etalons!B:B,A5,Etalons!C:C,B5)</f>
        <v/>
      </c>
      <c r="D5">
        <f>COUNTIFS(Etalons!B:B,A5,Etalons!C:C,B5,Etalons!F:F,"&lt;&gt;")</f>
        <v/>
      </c>
      <c r="E5">
        <f>IF(D5=C5,"Jā","Nē")</f>
        <v/>
      </c>
    </row>
    <row r="6">
      <c r="A6" t="inlineStr">
        <is>
          <t>150-5370-10H.pdf</t>
        </is>
      </c>
      <c r="B6" t="n">
        <v>192</v>
      </c>
      <c r="C6">
        <f>COUNTIFS(Etalons!B:B,A6,Etalons!C:C,B6)</f>
        <v/>
      </c>
      <c r="D6">
        <f>COUNTIFS(Etalons!B:B,A6,Etalons!C:C,B6,Etalons!F:F,"&lt;&gt;")</f>
        <v/>
      </c>
      <c r="E6">
        <f>IF(D6=C6,"Jā","Nē")</f>
        <v/>
      </c>
    </row>
    <row r="7">
      <c r="A7" t="inlineStr">
        <is>
          <t>150-5370-10H.pdf</t>
        </is>
      </c>
      <c r="B7" t="n">
        <v>216</v>
      </c>
      <c r="C7">
        <f>COUNTIFS(Etalons!B:B,A7,Etalons!C:C,B7)</f>
        <v/>
      </c>
      <c r="D7">
        <f>COUNTIFS(Etalons!B:B,A7,Etalons!C:C,B7,Etalons!F:F,"&lt;&gt;")</f>
        <v/>
      </c>
      <c r="E7">
        <f>IF(D7=C7,"Jā","Nē")</f>
        <v/>
      </c>
    </row>
    <row r="8">
      <c r="A8" t="inlineStr">
        <is>
          <t>150-5370-10H.pdf</t>
        </is>
      </c>
      <c r="B8" t="n">
        <v>321</v>
      </c>
      <c r="C8">
        <f>COUNTIFS(Etalons!B:B,A8,Etalons!C:C,B8)</f>
        <v/>
      </c>
      <c r="D8">
        <f>COUNTIFS(Etalons!B:B,A8,Etalons!C:C,B8,Etalons!F:F,"&lt;&gt;")</f>
        <v/>
      </c>
      <c r="E8">
        <f>IF(D8=C8,"Jā","Nē")</f>
        <v/>
      </c>
    </row>
    <row r="9">
      <c r="A9" t="inlineStr">
        <is>
          <t>150-5370-10H.pdf</t>
        </is>
      </c>
      <c r="B9" t="n">
        <v>335</v>
      </c>
      <c r="C9">
        <f>COUNTIFS(Etalons!B:B,A9,Etalons!C:C,B9)</f>
        <v/>
      </c>
      <c r="D9">
        <f>COUNTIFS(Etalons!B:B,A9,Etalons!C:C,B9,Etalons!F:F,"&lt;&gt;")</f>
        <v/>
      </c>
      <c r="E9">
        <f>IF(D9=C9,"Jā","Nē")</f>
        <v/>
      </c>
    </row>
    <row r="10">
      <c r="A10" t="inlineStr">
        <is>
          <t>150-5370-10H.pdf</t>
        </is>
      </c>
      <c r="B10" t="n">
        <v>349</v>
      </c>
      <c r="C10">
        <f>COUNTIFS(Etalons!B:B,A10,Etalons!C:C,B10)</f>
        <v/>
      </c>
      <c r="D10">
        <f>COUNTIFS(Etalons!B:B,A10,Etalons!C:C,B10,Etalons!F:F,"&lt;&gt;")</f>
        <v/>
      </c>
      <c r="E10">
        <f>IF(D10=C10,"Jā","Nē")</f>
        <v/>
      </c>
    </row>
    <row r="11">
      <c r="A11" t="inlineStr">
        <is>
          <t>150-5370-10H.pdf</t>
        </is>
      </c>
      <c r="B11" t="n">
        <v>355</v>
      </c>
      <c r="C11">
        <f>COUNTIFS(Etalons!B:B,A11,Etalons!C:C,B11)</f>
        <v/>
      </c>
      <c r="D11">
        <f>COUNTIFS(Etalons!B:B,A11,Etalons!C:C,B11,Etalons!F:F,"&lt;&gt;")</f>
        <v/>
      </c>
      <c r="E11">
        <f>IF(D11=C11,"Jā","Nē")</f>
        <v/>
      </c>
    </row>
    <row r="12">
      <c r="A12" t="inlineStr">
        <is>
          <t>150-5370-10H.pdf</t>
        </is>
      </c>
      <c r="B12" t="n">
        <v>450</v>
      </c>
      <c r="C12">
        <f>COUNTIFS(Etalons!B:B,A12,Etalons!C:C,B12)</f>
        <v/>
      </c>
      <c r="D12">
        <f>COUNTIFS(Etalons!B:B,A12,Etalons!C:C,B12,Etalons!F:F,"&lt;&gt;")</f>
        <v/>
      </c>
      <c r="E12">
        <f>IF(D12=C12,"Jā","Nē")</f>
        <v/>
      </c>
    </row>
    <row r="13">
      <c r="A13" t="inlineStr">
        <is>
          <t>150-5370-10H.pdf</t>
        </is>
      </c>
      <c r="B13" t="n">
        <v>536</v>
      </c>
      <c r="C13">
        <f>COUNTIFS(Etalons!B:B,A13,Etalons!C:C,B13)</f>
        <v/>
      </c>
      <c r="D13">
        <f>COUNTIFS(Etalons!B:B,A13,Etalons!C:C,B13,Etalons!F:F,"&lt;&gt;")</f>
        <v/>
      </c>
      <c r="E13">
        <f>IF(D13=C13,"Jā","Nē")</f>
        <v/>
      </c>
    </row>
    <row r="14">
      <c r="A14" t="inlineStr">
        <is>
          <t>150-5370-10H.pdf</t>
        </is>
      </c>
      <c r="B14" t="n">
        <v>596</v>
      </c>
      <c r="C14">
        <f>COUNTIFS(Etalons!B:B,A14,Etalons!C:C,B14)</f>
        <v/>
      </c>
      <c r="D14">
        <f>COUNTIFS(Etalons!B:B,A14,Etalons!C:C,B14,Etalons!F:F,"&lt;&gt;")</f>
        <v/>
      </c>
      <c r="E14">
        <f>IF(D14=C14,"Jā","Nē")</f>
        <v/>
      </c>
    </row>
    <row r="15">
      <c r="A15" t="inlineStr">
        <is>
          <t>150-5370-10H.pdf</t>
        </is>
      </c>
      <c r="B15" t="n">
        <v>633</v>
      </c>
      <c r="C15">
        <f>COUNTIFS(Etalons!B:B,A15,Etalons!C:C,B15)</f>
        <v/>
      </c>
      <c r="D15">
        <f>COUNTIFS(Etalons!B:B,A15,Etalons!C:C,B15,Etalons!F:F,"&lt;&gt;")</f>
        <v/>
      </c>
      <c r="E15">
        <f>IF(D15=C15,"Jā","Nē")</f>
        <v/>
      </c>
    </row>
    <row r="16">
      <c r="A16" t="inlineStr">
        <is>
          <t>150-5370-10H.pdf</t>
        </is>
      </c>
      <c r="B16" t="n">
        <v>641</v>
      </c>
      <c r="C16">
        <f>COUNTIFS(Etalons!B:B,A16,Etalons!C:C,B16)</f>
        <v/>
      </c>
      <c r="D16">
        <f>COUNTIFS(Etalons!B:B,A16,Etalons!C:C,B16,Etalons!F:F,"&lt;&gt;")</f>
        <v/>
      </c>
      <c r="E16">
        <f>IF(D16=C16,"Jā","Nē")</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t="inlineStr">
        <is>
          <t>{"tool_version": "4.0.0", "seed": 1, "sample": 20, "pages_spec": "59,114,162,181,192,216,321,335,349,355,450,536,596,633,641", "show_predictions": false, "sources": [{"name": "150-5370-10H.pdf", "path": "/tmp/claude-0/-home-user-workflows-starter-template/02873300-0aa4-5b5a-a8bb-9cae7051367b/scratchpad/holdout3/150-5370-10H.pdf", "sha256": "5b573a0979564a49bc052c2c84cc774218155b691e4511722aeb42969bededef"}], "pages": [{"source": "150-5370-10H.pdf", "page": 59}, {"source": "150-5370-10H.pdf", "page": 114}, {"source": "150-5370-10H.pdf", "page": 162}, {"source": "150-5370-10H.pdf", "page": 181}, {"source": "150-5370-10H.pdf", "page": 192}, {"source": "150-5370-10H.pdf", "page": 216}, {"source": "150-5370-10H.pdf", "page": 321}, {"source": "150-5370-10H.pdf", "page": 335}, {"source": "150-5370-10H.pdf", "page": 349}, {"source": "150-5370-10H.pdf", "page": 355}, {"source": "150-5370-10H.pdf", "page": 450}, {"source": "150-5370-10H.pdf", "page": 536}, {"source": "150-5370-10H.pdf", "page": 596}, {"source": "150-5370-10H.pdf", "page": 633}, {"source": "150-5370-10H.pdf", "page": 641}]}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2026-10-16T02:16:33Z</dcterms:created>
  <dcterms:modified xmlns:dcterms="http://purl.org/dc/terms/" xmlns:xsi="http://www.w3.org/2001/XMLSchema-instance" xsi:type="dcterms:W3CDTF">2026-10-16T02:17:20Z</dcterms:modified>
</cp:coreProperties>
</file>