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kcija" sheetId="1" state="visible" r:id="rId1"/>
    <sheet xmlns:r="http://schemas.openxmlformats.org/officeDocument/2006/relationships" name="Etalons" sheetId="2" state="visible" r:id="rId2"/>
    <sheet xmlns:r="http://schemas.openxmlformats.org/officeDocument/2006/relationships" name="Lapas" sheetId="3" state="visible" r:id="rId3"/>
    <sheet xmlns:r="http://schemas.openxmlformats.org/officeDocument/2006/relationships" name="_meta" sheetId="4" state="hidden" r:id="rId4"/>
  </sheets>
  <definedNames>
    <definedName name="_xlnm._FilterDatabase" localSheetId="1" hidden="1">'Etalons'!$A$1:$G$382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dxfs count="3">
    <dxf>
      <fill>
        <patternFill patternType="solid">
          <fgColor rgb="00D9EAD3"/>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20" customWidth="1" min="2" max="2"/>
  </cols>
  <sheetData>
    <row r="1">
      <c r="A1" s="1" t="inlineStr">
        <is>
          <t>Tēma</t>
        </is>
      </c>
      <c r="B1" s="1" t="inlineStr">
        <is>
          <t>Apraksts</t>
        </is>
      </c>
    </row>
    <row r="2">
      <c r="A2" s="2" t="inlineStr">
        <is>
          <t>Mērķis</t>
        </is>
      </c>
      <c r="B2" s="2" t="inlineStr">
        <is>
          <t>Atzīmē KATRU rindu šajās lapās: vai tā ir nodošanas / closeout prasība? Tad `spectakeoff eval` izmērīs, ko programma atrod pareizi, ko kļūdaini un ko palaiž garām.</t>
        </is>
      </c>
    </row>
    <row r="3">
      <c r="A3" s="2" t="inlineStr">
        <is>
          <t>Kā aizpildīt</t>
        </is>
      </c>
      <c r="B3" s="2" t="inlineStr">
        <is>
          <t>Kolonnā F izvēlies Jā vai Nē (vai ? ja tiešām nav skaidrs - tādas rindas netiek vērtētas). Atver PDF norādītajā lapā, ja teksts nav saprotams bez konteksta.</t>
        </is>
      </c>
    </row>
    <row r="4">
      <c r="A4" s="2" t="inlineStr">
        <is>
          <t>Jā</t>
        </is>
      </c>
      <c r="B4" s="2" t="inlineStr">
        <is>
          <t>Teikums vai saraksta punkts uzliek darbuzņēmējam pienākumu NODOT vai IESNIEGT kaut ko nodošanai/closeout: garantija, O&amp;M rokasgrāmatas, izpilddokumentācija (as-built / record drawings), rezerves daļas, papildu materiāli (attic stock), speciālie instrumenti, apmācība, testu atskaites, sertifikāti un atbilstības apliecinājumi, iesniegumu saraksta punkti (piem. UFGS SD-06/07/09/10/11).</t>
        </is>
      </c>
    </row>
    <row r="5">
      <c r="A5" s="2" t="inlineStr">
        <is>
          <t>Nē</t>
        </is>
      </c>
      <c r="B5" s="2" t="inlineStr">
        <is>
          <t>Būvdarbu metodes, materiālu īpašības, juridiski skaidrojumi ('shall not relieve...'), redaktora piezīmes (NOTE:, 'The Engineer shall...'), virsraksti, lapu galvenes, atsauces uz citām sadaļām, uzstādīšana 'saskaņā ar ražotāja instrukcijām'.</t>
        </is>
      </c>
    </row>
    <row r="6">
      <c r="A6" s="2" t="inlineStr">
        <is>
          <t>Piemērs Jā</t>
        </is>
      </c>
      <c r="B6" s="2" t="inlineStr">
        <is>
          <t>Provide two (2) copies of all manufacturers warranties specified for materials.</t>
        </is>
      </c>
    </row>
    <row r="7">
      <c r="A7" s="2" t="inlineStr">
        <is>
          <t>Piemērs Jā</t>
        </is>
      </c>
      <c r="B7" s="2" t="inlineStr">
        <is>
          <t>Operation and Maintenance Manuals; G, [_____]   (punkts zem SD-10)</t>
        </is>
      </c>
    </row>
    <row r="8">
      <c r="A8" s="2" t="inlineStr">
        <is>
          <t>Piemērs Nē</t>
        </is>
      </c>
      <c r="B8" s="2" t="inlineStr">
        <is>
          <t>Air-entraining admixtures shall meet the requirements of ASTM C260.</t>
        </is>
      </c>
    </row>
    <row r="9">
      <c r="A9" s="2" t="inlineStr">
        <is>
          <t>Piemērs Nē</t>
        </is>
      </c>
      <c r="B9" s="2" t="inlineStr">
        <is>
          <t>Manufacturer's certifications shall not relieve the Contractor of the responsibility...</t>
        </is>
      </c>
    </row>
    <row r="10">
      <c r="A10" s="2" t="inlineStr">
        <is>
          <t>Svarīgi</t>
        </is>
      </c>
      <c r="B10" s="2" t="inlineStr">
        <is>
          <t>Neskaties, ko atrada programma, pirms neesi atzīmējis pats - citādi mērījums būs neobjektīvs. Ja failā ir kolonna 'Programma atrada', to var paslēpt.</t>
        </is>
      </c>
    </row>
    <row r="11">
      <c r="A11" s="2" t="inlineStr">
        <is>
          <t>Pēc tam</t>
        </is>
      </c>
      <c r="B11" s="2" t="inlineStr">
        <is>
          <t>Saglabā failu un palaid:  spectakeoff eval etalons.xlsx   (programma pati atkārtoti apstrādās tos pašus PDF un salīdzinās). Lapas, kur kaut viena rinda nav atzīmēta, netiek vērtētas.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7" customWidth="1" min="3" max="3"/>
    <col width="8" customWidth="1" min="4" max="4"/>
    <col width="90" customWidth="1" min="5" max="5"/>
    <col width="16" customWidth="1" min="6" max="6"/>
    <col width="30" customWidth="1" min="7" max="7"/>
    <col width="14" customWidth="1" min="8" max="8"/>
  </cols>
  <sheetData>
    <row r="1">
      <c r="A1" s="3" t="inlineStr">
        <is>
          <t>ID</t>
        </is>
      </c>
      <c r="B1" s="3" t="inlineStr">
        <is>
          <t>Fails</t>
        </is>
      </c>
      <c r="C1" s="3" t="inlineStr">
        <is>
          <t>Lapa</t>
        </is>
      </c>
      <c r="D1" s="3" t="inlineStr">
        <is>
          <t>Nr. lapā</t>
        </is>
      </c>
      <c r="E1" s="3" t="inlineStr">
        <is>
          <t>Teksts (oriģināls)</t>
        </is>
      </c>
      <c r="F1" s="3" t="inlineStr">
        <is>
          <t>Prasība? (Jā/Nē)</t>
        </is>
      </c>
      <c r="G1" s="3" t="inlineStr">
        <is>
          <t>Piezīme</t>
        </is>
      </c>
    </row>
    <row r="2">
      <c r="A2" s="2" t="inlineStr">
        <is>
          <t>150-5370-10H-P0103-001</t>
        </is>
      </c>
      <c r="B2" s="2" t="inlineStr">
        <is>
          <t>150-5370-10H.pdf</t>
        </is>
      </c>
      <c r="C2" s="2" t="n">
        <v>103</v>
      </c>
      <c r="D2" s="2" t="n">
        <v>1</v>
      </c>
      <c r="E2" s="2" t="inlineStr">
        <is>
          <t>12/21/2018 AC 150/5370-10H</t>
        </is>
      </c>
      <c r="F2" s="2" t="inlineStr">
        <is>
          <t>Nē</t>
        </is>
      </c>
      <c r="G2" s="2" t="n"/>
    </row>
    <row r="3">
      <c r="A3" s="2" t="inlineStr">
        <is>
          <t>150-5370-10H-P0103-002</t>
        </is>
      </c>
      <c r="B3" s="2" t="inlineStr">
        <is>
          <t>150-5370-10H.pdf</t>
        </is>
      </c>
      <c r="C3" s="2" t="n">
        <v>103</v>
      </c>
      <c r="D3" s="2" t="n">
        <v>2</v>
      </c>
      <c r="E3" s="2" t="inlineStr">
        <is>
          <t>b. Removal of Inlets/Manholes.</t>
        </is>
      </c>
      <c r="F3" s="2" t="inlineStr">
        <is>
          <t>Nē</t>
        </is>
      </c>
      <c r="G3" s="2" t="n"/>
    </row>
    <row r="4">
      <c r="A4" s="2" t="inlineStr">
        <is>
          <t>150-5370-10H-P0103-003</t>
        </is>
      </c>
      <c r="B4" s="2" t="inlineStr">
        <is>
          <t>150-5370-10H.pdf</t>
        </is>
      </c>
      <c r="C4" s="2" t="n">
        <v>103</v>
      </c>
      <c r="D4" s="2" t="n">
        <v>3</v>
      </c>
      <c r="E4" s="2" t="inlineStr">
        <is>
          <t>[ Where indicated on the plans or as directed by the RPR, inlets and/or manholes shall be removed and legally disposed of off-site in a timely fashion after removal.</t>
        </is>
      </c>
      <c r="F4" s="2" t="inlineStr">
        <is>
          <t>Nē</t>
        </is>
      </c>
      <c r="G4" s="2" t="n"/>
    </row>
    <row r="5">
      <c r="A5" s="2" t="inlineStr">
        <is>
          <t>150-5370-10H-P0103-004</t>
        </is>
      </c>
      <c r="B5" s="2" t="inlineStr">
        <is>
          <t>150-5370-10H.pdf</t>
        </is>
      </c>
      <c r="C5" s="2" t="n">
        <v>103</v>
      </c>
      <c r="D5" s="2" t="n">
        <v>4</v>
      </c>
      <c r="E5" s="2" t="inlineStr">
        <is>
          <t>Excavations after removal shall be backfilled with material equal or better in quality than adjacent embankment.</t>
        </is>
      </c>
      <c r="F5" s="2" t="inlineStr">
        <is>
          <t>Nē</t>
        </is>
      </c>
      <c r="G5" s="2" t="n"/>
    </row>
    <row r="6">
      <c r="A6" s="2" t="inlineStr">
        <is>
          <t>150-5370-10H-P0103-005</t>
        </is>
      </c>
      <c r="B6" s="2" t="inlineStr">
        <is>
          <t>150-5370-10H.pdf</t>
        </is>
      </c>
      <c r="C6" s="2" t="n">
        <v>103</v>
      </c>
      <c r="D6" s="2" t="n">
        <v>5</v>
      </c>
      <c r="E6" s="2" t="inlineStr">
        <is>
          <t>When under paved areas must be compacted to [ 95% ] of ASTM [ D1557 ] [ D698 ], when outside of paved areas must be compacted to [ 95% ] of ASTM D698.</t>
        </is>
      </c>
      <c r="F6" s="2" t="inlineStr">
        <is>
          <t>Nē</t>
        </is>
      </c>
      <c r="G6" s="2" t="n"/>
    </row>
    <row r="7">
      <c r="A7" s="2" t="inlineStr">
        <is>
          <t>150-5370-10H-P0103-006</t>
        </is>
      </c>
      <c r="B7" s="2" t="inlineStr">
        <is>
          <t>150-5370-10H.pdf</t>
        </is>
      </c>
      <c r="C7" s="2" t="n">
        <v>103</v>
      </c>
      <c r="D7" s="2" t="n">
        <v>6</v>
      </c>
      <c r="E7" s="2" t="inlineStr">
        <is>
          <t>[ Not used. ] ]</t>
        </is>
      </c>
      <c r="F7" s="2" t="inlineStr">
        <is>
          <t>Nē</t>
        </is>
      </c>
      <c r="G7" s="2" t="n"/>
    </row>
    <row r="8">
      <c r="A8" s="2" t="inlineStr">
        <is>
          <t>150-5370-10H-P0103-007</t>
        </is>
      </c>
      <c r="B8" s="2" t="inlineStr">
        <is>
          <t>150-5370-10H.pdf</t>
        </is>
      </c>
      <c r="C8" s="2" t="n">
        <v>103</v>
      </c>
      <c r="D8" s="2" t="n">
        <v>7</v>
      </c>
      <c r="E8" s="2" t="inlineStr">
        <is>
          <t>c. Removal of [ ].</t>
        </is>
      </c>
      <c r="F8" s="2" t="inlineStr">
        <is>
          <t>Nē</t>
        </is>
      </c>
      <c r="G8" s="2" t="n"/>
    </row>
    <row r="9">
      <c r="A9" s="2" t="inlineStr">
        <is>
          <t>150-5370-10H-P0103-008</t>
        </is>
      </c>
      <c r="B9" s="2" t="inlineStr">
        <is>
          <t>150-5370-10H.pdf</t>
        </is>
      </c>
      <c r="C9" s="2" t="n">
        <v>103</v>
      </c>
      <c r="D9" s="2" t="n">
        <v>8</v>
      </c>
      <c r="E9" s="2" t="inlineStr">
        <is>
          <t>METHOD OF MEASUREMENT</t>
        </is>
      </c>
      <c r="F9" s="2" t="inlineStr">
        <is>
          <t>Nē</t>
        </is>
      </c>
      <c r="G9" s="2" t="n"/>
    </row>
    <row r="10">
      <c r="A10" s="2" t="inlineStr">
        <is>
          <t>150-5370-10H-P0103-009</t>
        </is>
      </c>
      <c r="B10" s="2" t="inlineStr">
        <is>
          <t>150-5370-10H.pdf</t>
        </is>
      </c>
      <c r="C10" s="2" t="n">
        <v>103</v>
      </c>
      <c r="D10" s="2" t="n">
        <v>9</v>
      </c>
      <c r="E10" s="2" t="inlineStr">
        <is>
          <t>[ 101-4.1 Lump sum.</t>
        </is>
      </c>
      <c r="F10" s="2" t="inlineStr">
        <is>
          <t>Nē</t>
        </is>
      </c>
      <c r="G10" s="2" t="n"/>
    </row>
    <row r="11">
      <c r="A11" s="2" t="inlineStr">
        <is>
          <t>150-5370-10H-P0103-010</t>
        </is>
      </c>
      <c r="B11" s="2" t="inlineStr">
        <is>
          <t>150-5370-10H.pdf</t>
        </is>
      </c>
      <c r="C11" s="2" t="n">
        <v>103</v>
      </c>
      <c r="D11" s="2" t="n">
        <v>10</v>
      </c>
      <c r="E11" s="2" t="inlineStr">
        <is>
          <t>No separate measurement for payment will be made.</t>
        </is>
      </c>
      <c r="F11" s="2" t="inlineStr">
        <is>
          <t>Nē</t>
        </is>
      </c>
      <c r="G11" s="2" t="n"/>
    </row>
    <row r="12">
      <c r="A12" s="2" t="inlineStr">
        <is>
          <t>150-5370-10H-P0103-011</t>
        </is>
      </c>
      <c r="B12" s="2" t="inlineStr">
        <is>
          <t>150-5370-10H.pdf</t>
        </is>
      </c>
      <c r="C12" s="2" t="n">
        <v>103</v>
      </c>
      <c r="D12" s="2" t="n">
        <v>11</v>
      </c>
      <c r="E12" s="2" t="inlineStr">
        <is>
          <t>The work covered by this section shall be considered as a subsidiary obligation of the Contractor and covered under the other contract items. ]</t>
        </is>
      </c>
      <c r="F12" s="2" t="inlineStr">
        <is>
          <t>Nē</t>
        </is>
      </c>
      <c r="G12" s="2" t="n"/>
    </row>
    <row r="13">
      <c r="A13" s="2" t="inlineStr">
        <is>
          <t>150-5370-10H-P0103-012</t>
        </is>
      </c>
      <c r="B13" s="2" t="inlineStr">
        <is>
          <t>150-5370-10H.pdf</t>
        </is>
      </c>
      <c r="C13" s="2" t="n">
        <v>103</v>
      </c>
      <c r="D13" s="2" t="n">
        <v>12</v>
      </c>
      <c r="E13" s="2" t="inlineStr">
        <is>
          <t>[ 101-4.1 Pavement removal.</t>
        </is>
      </c>
      <c r="F13" s="2" t="inlineStr">
        <is>
          <t>Nē</t>
        </is>
      </c>
      <c r="G13" s="2" t="n"/>
    </row>
    <row r="14">
      <c r="A14" s="2" t="inlineStr">
        <is>
          <t>150-5370-10H-P0103-013</t>
        </is>
      </c>
      <c r="B14" s="2" t="inlineStr">
        <is>
          <t>150-5370-10H.pdf</t>
        </is>
      </c>
      <c r="C14" s="2" t="n">
        <v>103</v>
      </c>
      <c r="D14" s="2" t="n">
        <v>13</v>
      </c>
      <c r="E14" s="2" t="inlineStr">
        <is>
          <t>The unit of measurement for pavement removal shall be the number of square yards (square meters) removed by the Contractor.</t>
        </is>
      </c>
      <c r="F14" s="2" t="inlineStr">
        <is>
          <t>Nē</t>
        </is>
      </c>
      <c r="G14" s="2" t="n"/>
    </row>
    <row r="15">
      <c r="A15" s="2" t="inlineStr">
        <is>
          <t>150-5370-10H-P0103-014</t>
        </is>
      </c>
      <c r="B15" s="2" t="inlineStr">
        <is>
          <t>150-5370-10H.pdf</t>
        </is>
      </c>
      <c r="C15" s="2" t="n">
        <v>103</v>
      </c>
      <c r="D15" s="2" t="n">
        <v>14</v>
      </c>
      <c r="E15" s="2" t="inlineStr">
        <is>
          <t>Any pavement removed outside the limits of removal because the pavement was damaged by negligence on the part of the Contractor shall not be included in the measurement for payment.</t>
        </is>
      </c>
      <c r="F15" s="2" t="inlineStr">
        <is>
          <t>Nē</t>
        </is>
      </c>
      <c r="G15" s="2" t="n"/>
    </row>
    <row r="16">
      <c r="A16" s="2" t="inlineStr">
        <is>
          <t>150-5370-10H-P0103-015</t>
        </is>
      </c>
      <c r="B16" s="2" t="inlineStr">
        <is>
          <t>150-5370-10H.pdf</t>
        </is>
      </c>
      <c r="C16" s="2" t="n">
        <v>103</v>
      </c>
      <c r="D16" s="2" t="n">
        <v>15</v>
      </c>
      <c r="E16" s="2" t="inlineStr">
        <is>
          <t>No direct measurement or payment shall be made for saw cutting.</t>
        </is>
      </c>
      <c r="F16" s="2" t="inlineStr">
        <is>
          <t>Nē</t>
        </is>
      </c>
      <c r="G16" s="2" t="n"/>
    </row>
    <row r="17">
      <c r="A17" s="2" t="inlineStr">
        <is>
          <t>150-5370-10H-P0103-016</t>
        </is>
      </c>
      <c r="B17" s="2" t="inlineStr">
        <is>
          <t>150-5370-10H.pdf</t>
        </is>
      </c>
      <c r="C17" s="2" t="n">
        <v>103</v>
      </c>
      <c r="D17" s="2" t="n">
        <v>16</v>
      </c>
      <c r="E17" s="2" t="inlineStr">
        <is>
          <t>Saw cutting shall be incidental to pavement removal.</t>
        </is>
      </c>
      <c r="F17" s="2" t="inlineStr">
        <is>
          <t>Nē</t>
        </is>
      </c>
      <c r="G17" s="2" t="n"/>
    </row>
    <row r="18">
      <c r="A18" s="2" t="inlineStr">
        <is>
          <t>150-5370-10H-P0103-017</t>
        </is>
      </c>
      <c r="B18" s="2" t="inlineStr">
        <is>
          <t>150-5370-10H.pdf</t>
        </is>
      </c>
      <c r="C18" s="2" t="n">
        <v>103</v>
      </c>
      <c r="D18" s="2" t="n">
        <v>17</v>
      </c>
      <c r="E18" s="2" t="inlineStr">
        <is>
          <t>Dowel bar installation shall be incidental to pavement removal.</t>
        </is>
      </c>
      <c r="F18" s="2" t="inlineStr">
        <is>
          <t>Nē</t>
        </is>
      </c>
      <c r="G18" s="2" t="n"/>
    </row>
    <row r="19">
      <c r="A19" s="2" t="inlineStr">
        <is>
          <t>150-5370-10H-P0103-018</t>
        </is>
      </c>
      <c r="B19" s="2" t="inlineStr">
        <is>
          <t>150-5370-10H.pdf</t>
        </is>
      </c>
      <c r="C19" s="2" t="n">
        <v>103</v>
      </c>
      <c r="D19" s="2" t="n">
        <v>18</v>
      </c>
      <c r="E19" s="2" t="inlineStr">
        <is>
          <t>101-4.2 Joint and crack repair.</t>
        </is>
      </c>
      <c r="F19" s="2" t="inlineStr">
        <is>
          <t>Nē</t>
        </is>
      </c>
      <c r="G19" s="2" t="n"/>
    </row>
    <row r="20">
      <c r="A20" s="2" t="inlineStr">
        <is>
          <t>150-5370-10H-P0103-019</t>
        </is>
      </c>
      <c r="B20" s="2" t="inlineStr">
        <is>
          <t>150-5370-10H.pdf</t>
        </is>
      </c>
      <c r="C20" s="2" t="n">
        <v>103</v>
      </c>
      <c r="D20" s="2" t="n">
        <v>19</v>
      </c>
      <c r="E20" s="2" t="inlineStr">
        <is>
          <t>The unit of measurement for joint and crack repair shall be the linear foot (meter) of joint.</t>
        </is>
      </c>
      <c r="F20" s="2" t="inlineStr">
        <is>
          <t>Nē</t>
        </is>
      </c>
      <c r="G20" s="2" t="n"/>
    </row>
    <row r="21">
      <c r="A21" s="2" t="inlineStr">
        <is>
          <t>150-5370-10H-P0103-020</t>
        </is>
      </c>
      <c r="B21" s="2" t="inlineStr">
        <is>
          <t>150-5370-10H.pdf</t>
        </is>
      </c>
      <c r="C21" s="2" t="n">
        <v>103</v>
      </c>
      <c r="D21" s="2" t="n">
        <v>20</v>
      </c>
      <c r="E21" s="2" t="inlineStr">
        <is>
          <t>101-4.3 Removal of Foreign Substances/contaminates.</t>
        </is>
      </c>
      <c r="F21" s="2" t="inlineStr">
        <is>
          <t>Nē</t>
        </is>
      </c>
      <c r="G21" s="2" t="n"/>
    </row>
    <row r="22">
      <c r="A22" s="2" t="inlineStr">
        <is>
          <t>150-5370-10H-P0103-021</t>
        </is>
      </c>
      <c r="B22" s="2" t="inlineStr">
        <is>
          <t>150-5370-10H.pdf</t>
        </is>
      </c>
      <c r="C22" s="2" t="n">
        <v>103</v>
      </c>
      <c r="D22" s="2" t="n">
        <v>21</v>
      </c>
      <c r="E22" s="2" t="inlineStr">
        <is>
          <t>The unit of measurement for foreign Substances/contaminates removal shall be the square foot (meter).</t>
        </is>
      </c>
      <c r="F22" s="2" t="inlineStr">
        <is>
          <t>Nē</t>
        </is>
      </c>
      <c r="G22" s="2" t="n"/>
    </row>
    <row r="23">
      <c r="A23" s="2" t="inlineStr">
        <is>
          <t>150-5370-10H-P0103-022</t>
        </is>
      </c>
      <c r="B23" s="2" t="inlineStr">
        <is>
          <t>150-5370-10H.pdf</t>
        </is>
      </c>
      <c r="C23" s="2" t="n">
        <v>103</v>
      </c>
      <c r="D23" s="2" t="n">
        <v>22</v>
      </c>
      <c r="E23" s="2" t="inlineStr">
        <is>
          <t>101-4.4 Spalled and failed asphalt pavement repair.</t>
        </is>
      </c>
      <c r="F23" s="2" t="inlineStr">
        <is>
          <t>Nē</t>
        </is>
      </c>
      <c r="G23" s="2" t="n"/>
    </row>
    <row r="24">
      <c r="A24" s="2" t="inlineStr">
        <is>
          <t>150-5370-10H-P0103-023</t>
        </is>
      </c>
      <c r="B24" s="2" t="inlineStr">
        <is>
          <t>150-5370-10H.pdf</t>
        </is>
      </c>
      <c r="C24" s="2" t="n">
        <v>103</v>
      </c>
      <c r="D24" s="2" t="n">
        <v>23</v>
      </c>
      <c r="E24" s="2" t="inlineStr">
        <is>
          <t>The unit of measure for failed asphalt pavement repair shall be square foot (square meter).</t>
        </is>
      </c>
      <c r="F24" s="2" t="inlineStr">
        <is>
          <t>Nē</t>
        </is>
      </c>
      <c r="G24" s="2" t="n"/>
    </row>
    <row r="25">
      <c r="A25" s="2" t="inlineStr">
        <is>
          <t>150-5370-10H-P0103-024</t>
        </is>
      </c>
      <c r="B25" s="2" t="inlineStr">
        <is>
          <t>150-5370-10H.pdf</t>
        </is>
      </c>
      <c r="C25" s="2" t="n">
        <v>103</v>
      </c>
      <c r="D25" s="2" t="n">
        <v>24</v>
      </c>
      <c r="E25" s="2" t="inlineStr">
        <is>
          <t>101-4.5 Concrete Spall Repair.</t>
        </is>
      </c>
      <c r="F25" s="2" t="inlineStr">
        <is>
          <t>Nē</t>
        </is>
      </c>
      <c r="G25" s="2" t="n"/>
    </row>
    <row r="26">
      <c r="A26" s="2" t="inlineStr">
        <is>
          <t>150-5370-10H-P0103-025</t>
        </is>
      </c>
      <c r="B26" s="2" t="inlineStr">
        <is>
          <t>150-5370-10H.pdf</t>
        </is>
      </c>
      <c r="C26" s="2" t="n">
        <v>103</v>
      </c>
      <c r="D26" s="2" t="n">
        <v>25</v>
      </c>
      <c r="E26" s="2" t="inlineStr">
        <is>
          <t>The unit of measure for concrete spall repair shall be the number of square feet (square meter).</t>
        </is>
      </c>
      <c r="F26" s="2" t="inlineStr">
        <is>
          <t>Nē</t>
        </is>
      </c>
      <c r="G26" s="2" t="n"/>
    </row>
    <row r="27">
      <c r="A27" s="2" t="inlineStr">
        <is>
          <t>150-5370-10H-P0103-026</t>
        </is>
      </c>
      <c r="B27" s="2" t="inlineStr">
        <is>
          <t>150-5370-10H.pdf</t>
        </is>
      </c>
      <c r="C27" s="2" t="n">
        <v>103</v>
      </c>
      <c r="D27" s="2" t="n">
        <v>26</v>
      </c>
      <c r="E27" s="2" t="inlineStr">
        <is>
          <t>The location and average depth of the patch shall be determined and agreed upon by the RPR and the Contractor.</t>
        </is>
      </c>
      <c r="F27" s="2" t="inlineStr">
        <is>
          <t>Nē</t>
        </is>
      </c>
      <c r="G27" s="2" t="n"/>
    </row>
    <row r="28">
      <c r="A28" s="2" t="inlineStr">
        <is>
          <t>150-5370-10H-P0103-027</t>
        </is>
      </c>
      <c r="B28" s="2" t="inlineStr">
        <is>
          <t>150-5370-10H.pdf</t>
        </is>
      </c>
      <c r="C28" s="2" t="n">
        <v>103</v>
      </c>
      <c r="D28" s="2" t="n">
        <v>27</v>
      </c>
      <c r="E28" s="2" t="inlineStr">
        <is>
          <t>101-4.6 Cold milling.</t>
        </is>
      </c>
      <c r="F28" s="2" t="inlineStr">
        <is>
          <t>Nē</t>
        </is>
      </c>
      <c r="G28" s="2" t="n"/>
    </row>
    <row r="29">
      <c r="A29" s="2" t="inlineStr">
        <is>
          <t>150-5370-10H-P0103-028</t>
        </is>
      </c>
      <c r="B29" s="2" t="inlineStr">
        <is>
          <t>150-5370-10H.pdf</t>
        </is>
      </c>
      <c r="C29" s="2" t="n">
        <v>103</v>
      </c>
      <c r="D29" s="2" t="n">
        <v>28</v>
      </c>
      <c r="E29" s="2" t="inlineStr">
        <is>
          <t>The unit of measure for cold milling shall be [ ] inches of milling per square yard (square meter).</t>
        </is>
      </c>
      <c r="F29" s="2" t="inlineStr">
        <is>
          <t>Nē</t>
        </is>
      </c>
      <c r="G29" s="2" t="n"/>
    </row>
    <row r="30">
      <c r="A30" s="2" t="inlineStr">
        <is>
          <t>150-5370-10H-P0103-029</t>
        </is>
      </c>
      <c r="B30" s="2" t="inlineStr">
        <is>
          <t>150-5370-10H.pdf</t>
        </is>
      </c>
      <c r="C30" s="2" t="n">
        <v>103</v>
      </c>
      <c r="D30" s="2" t="n">
        <v>29</v>
      </c>
      <c r="E30" s="2" t="inlineStr">
        <is>
          <t>The location and average depth of the cold milling shall be as shown on the plans.</t>
        </is>
      </c>
      <c r="F30" s="2" t="inlineStr">
        <is>
          <t>Nē</t>
        </is>
      </c>
      <c r="G30" s="2" t="n"/>
    </row>
    <row r="31">
      <c r="A31" s="2" t="inlineStr">
        <is>
          <t>150-5370-10H-P0103-030</t>
        </is>
      </c>
      <c r="B31" s="2" t="inlineStr">
        <is>
          <t>150-5370-10H.pdf</t>
        </is>
      </c>
      <c r="C31" s="2" t="n">
        <v>103</v>
      </c>
      <c r="D31" s="2" t="n">
        <v>30</v>
      </c>
      <c r="E31" s="2" t="inlineStr">
        <is>
          <t>If the initial cut does not correct the condition, the Contractor shall re-mill the area and will be paid for the total depth of milling. ]</t>
        </is>
      </c>
      <c r="F31" s="2" t="inlineStr">
        <is>
          <t>Nē</t>
        </is>
      </c>
      <c r="G31" s="2" t="n"/>
    </row>
    <row r="32">
      <c r="A32" s="2" t="inlineStr">
        <is>
          <t>150-5370-10H-P0103-031</t>
        </is>
      </c>
      <c r="B32" s="2" t="inlineStr">
        <is>
          <t>150-5370-10H.pdf</t>
        </is>
      </c>
      <c r="C32" s="2" t="n">
        <v>103</v>
      </c>
      <c r="D32" s="2" t="n">
        <v>31</v>
      </c>
      <c r="E32" s="2" t="inlineStr">
        <is>
          <t>101-4.7 Removal of Pipe and other Buried Structures.</t>
        </is>
      </c>
      <c r="F32" s="2" t="inlineStr">
        <is>
          <t>Nē</t>
        </is>
      </c>
      <c r="G32" s="2" t="n"/>
    </row>
    <row r="33">
      <c r="A33" s="2" t="inlineStr">
        <is>
          <t>150-5370-10H-P0103-032</t>
        </is>
      </c>
      <c r="B33" s="2" t="inlineStr">
        <is>
          <t>150-5370-10H.pdf</t>
        </is>
      </c>
      <c r="C33" s="2" t="n">
        <v>103</v>
      </c>
      <c r="D33" s="2" t="n">
        <v>32</v>
      </c>
      <c r="E33" s="2" t="inlineStr">
        <is>
          <t>[ Not require. ] [ The unit of measurement for removal of pipe and other buried structures will be [ lump sum.</t>
        </is>
      </c>
      <c r="F33" s="2" t="inlineStr">
        <is>
          <t>Nē</t>
        </is>
      </c>
      <c r="G33" s="2" t="n"/>
    </row>
    <row r="34">
      <c r="A34" s="2" t="inlineStr">
        <is>
          <t>150-5370-10H-P0103-033</t>
        </is>
      </c>
      <c r="B34" s="2" t="inlineStr">
        <is>
          <t>150-5370-10H.pdf</t>
        </is>
      </c>
      <c r="C34" s="2" t="n">
        <v>103</v>
      </c>
      <c r="D34" s="2" t="n">
        <v>33</v>
      </c>
      <c r="E34" s="2" t="inlineStr">
        <is>
          <t>The work covered by this section shall be considered as a subsidiary obligation of the Contractor and covered under the other contract items. ] [ made at the contract unit price for each completed and</t>
        </is>
      </c>
      <c r="F34" s="2" t="inlineStr">
        <is>
          <t>Nē</t>
        </is>
      </c>
      <c r="G34" s="2" t="n"/>
    </row>
    <row r="35">
      <c r="A35" s="2" t="inlineStr">
        <is>
          <t>150-5370-10H-P0103-034</t>
        </is>
      </c>
      <c r="B35" s="2" t="inlineStr">
        <is>
          <t>150-5370-10H.pdf</t>
        </is>
      </c>
      <c r="C35" s="2" t="n">
        <v>103</v>
      </c>
      <c r="D35" s="2" t="n">
        <v>34</v>
      </c>
      <c r="E35" s="2" t="inlineStr">
        <is>
          <t>Item P-101 Preparation/Removal of Existing Pavements 95</t>
        </is>
      </c>
      <c r="F35" s="2" t="inlineStr">
        <is>
          <t>Nē</t>
        </is>
      </c>
      <c r="G35" s="2" t="n"/>
    </row>
    <row r="36">
      <c r="A36" s="2" t="inlineStr">
        <is>
          <t>150-5370-10H-P0141-001</t>
        </is>
      </c>
      <c r="B36" s="2" t="inlineStr">
        <is>
          <t>150-5370-10H.pdf</t>
        </is>
      </c>
      <c r="C36" s="2" t="n">
        <v>141</v>
      </c>
      <c r="D36" s="2" t="n">
        <v>1</v>
      </c>
      <c r="E36" s="2" t="inlineStr">
        <is>
          <t>12/21/2018 AC 150/5370-10H</t>
        </is>
      </c>
      <c r="F36" s="2" t="inlineStr">
        <is>
          <t>Nē</t>
        </is>
      </c>
      <c r="G36" s="2" t="n"/>
    </row>
    <row r="37">
      <c r="A37" s="2" t="inlineStr">
        <is>
          <t>150-5370-10H-P0141-002</t>
        </is>
      </c>
      <c r="B37" s="2" t="inlineStr">
        <is>
          <t>150-5370-10H.pdf</t>
        </is>
      </c>
      <c r="C37" s="2" t="n">
        <v>141</v>
      </c>
      <c r="D37" s="2" t="n">
        <v>2</v>
      </c>
      <c r="E37" s="2" t="inlineStr">
        <is>
          <t>The field density of the compacted mixture shall be at least [ 95% ] of the maximum density of laboratory specimens prepared from samples taken from the material in place.</t>
        </is>
      </c>
      <c r="F37" s="2" t="inlineStr">
        <is>
          <t>Nē</t>
        </is>
      </c>
      <c r="G37" s="2" t="n"/>
    </row>
    <row r="38">
      <c r="A38" s="2" t="inlineStr">
        <is>
          <t>150-5370-10H-P0141-003</t>
        </is>
      </c>
      <c r="B38" s="2" t="inlineStr">
        <is>
          <t>150-5370-10H.pdf</t>
        </is>
      </c>
      <c r="C38" s="2" t="n">
        <v>141</v>
      </c>
      <c r="D38" s="2" t="n">
        <v>3</v>
      </c>
      <c r="E38" s="2" t="inlineStr">
        <is>
          <t>The specimens shall be compacted and tested in accordance with ASTM D698 to determine maximum density and optimum moisture content.</t>
        </is>
      </c>
      <c r="F38" s="2" t="inlineStr">
        <is>
          <t>Nē</t>
        </is>
      </c>
      <c r="G38" s="2" t="n"/>
    </row>
    <row r="39">
      <c r="A39" s="2" t="inlineStr">
        <is>
          <t>150-5370-10H-P0141-004</t>
        </is>
      </c>
      <c r="B39" s="2" t="inlineStr">
        <is>
          <t>150-5370-10H.pdf</t>
        </is>
      </c>
      <c r="C39" s="2" t="n">
        <v>141</v>
      </c>
      <c r="D39" s="2" t="n">
        <v>4</v>
      </c>
      <c r="E39" s="2" t="inlineStr">
        <is>
          <t>The in-place field density shall be determined in accordance with [ ASTM D1556 ] [ ASTM D6938, Procedure A, direct transmission method ].</t>
        </is>
      </c>
      <c r="F39" s="2" t="inlineStr">
        <is>
          <t>Nē</t>
        </is>
      </c>
      <c r="G39" s="2" t="n"/>
    </row>
    <row r="40">
      <c r="A40" s="2" t="inlineStr">
        <is>
          <t>150-5370-10H-P0141-005</t>
        </is>
      </c>
      <c r="B40" s="2" t="inlineStr">
        <is>
          <t>150-5370-10H.pdf</t>
        </is>
      </c>
      <c r="C40" s="2" t="n">
        <v>141</v>
      </c>
      <c r="D40" s="2" t="n">
        <v>5</v>
      </c>
      <c r="E40" s="2" t="inlineStr">
        <is>
          <t>If the material fails to meet the density requirements, the area represented by the failed test shall be reworked to meet the density requirements.</t>
        </is>
      </c>
      <c r="F40" s="2" t="inlineStr">
        <is>
          <t>Nē</t>
        </is>
      </c>
      <c r="G40" s="2" t="n"/>
    </row>
    <row r="41">
      <c r="A41" s="2" t="inlineStr">
        <is>
          <t>150-5370-10H-P0141-006</t>
        </is>
      </c>
      <c r="B41" s="2" t="inlineStr">
        <is>
          <t>150-5370-10H.pdf</t>
        </is>
      </c>
      <c r="C41" s="2" t="n">
        <v>141</v>
      </c>
      <c r="D41" s="2" t="n">
        <v>6</v>
      </c>
      <c r="E41" s="2" t="inlineStr">
        <is>
          <t>Maximum density refers to maximum dry density at optimum moisture content unless otherwise specified.</t>
        </is>
      </c>
      <c r="F41" s="2" t="inlineStr">
        <is>
          <t>Nē</t>
        </is>
      </c>
      <c r="G41" s="2" t="n"/>
    </row>
    <row r="42">
      <c r="A42" s="2" t="inlineStr">
        <is>
          <t>150-5370-10H-P0141-007</t>
        </is>
      </c>
      <c r="B42" s="2" t="inlineStr">
        <is>
          <t>150-5370-10H.pdf</t>
        </is>
      </c>
      <c r="C42" s="2" t="n">
        <v>141</v>
      </c>
      <c r="D42" s="2" t="n">
        <v>7</v>
      </c>
      <c r="E42" s="2" t="inlineStr">
        <is>
          <t>May be modified as appropriate to comply with the Geotechnical Engineer's recommendations and/or requirements to achieve a specified strength, etc.</t>
        </is>
      </c>
      <c r="F42" s="2" t="inlineStr">
        <is>
          <t>Nē</t>
        </is>
      </c>
      <c r="G42" s="2" t="n"/>
    </row>
    <row r="43">
      <c r="A43" s="2" t="inlineStr">
        <is>
          <t>150-5370-10H-P0141-008</t>
        </is>
      </c>
      <c r="B43" s="2" t="inlineStr">
        <is>
          <t>150-5370-10H.pdf</t>
        </is>
      </c>
      <c r="C43" s="2" t="n">
        <v>141</v>
      </c>
      <c r="D43" s="2" t="n">
        <v>8</v>
      </c>
      <c r="E43" s="2" t="inlineStr">
        <is>
          <t>Test frequency should reflect typical day’s placement.</t>
        </is>
      </c>
      <c r="F43" s="2" t="inlineStr">
        <is>
          <t>Nē</t>
        </is>
      </c>
      <c r="G43" s="2" t="n"/>
    </row>
    <row r="44">
      <c r="A44" s="2" t="inlineStr">
        <is>
          <t>150-5370-10H-P0141-009</t>
        </is>
      </c>
      <c r="B44" s="2" t="inlineStr">
        <is>
          <t>150-5370-10H.pdf</t>
        </is>
      </c>
      <c r="C44" s="2" t="n">
        <v>141</v>
      </c>
      <c r="D44" s="2" t="n">
        <v>9</v>
      </c>
      <c r="E44" s="2" t="inlineStr">
        <is>
          <t>Recommend not less than one test per 1,000 square yards (840 m2) or a minimum of 4 tests per day.</t>
        </is>
      </c>
      <c r="F44" s="2" t="inlineStr">
        <is>
          <t>Nē</t>
        </is>
      </c>
      <c r="G44" s="2" t="n"/>
    </row>
    <row r="45">
      <c r="A45" s="2" t="inlineStr">
        <is>
          <t>150-5370-10H-P0141-010</t>
        </is>
      </c>
      <c r="B45" s="2" t="inlineStr">
        <is>
          <t>150-5370-10H.pdf</t>
        </is>
      </c>
      <c r="C45" s="2" t="n">
        <v>141</v>
      </c>
      <c r="D45" s="2" t="n">
        <v>10</v>
      </c>
      <c r="E45" s="2" t="inlineStr">
        <is>
          <t>b. Thickness.</t>
        </is>
      </c>
      <c r="F45" s="2" t="inlineStr">
        <is>
          <t>Nē</t>
        </is>
      </c>
      <c r="G45" s="2" t="n"/>
    </row>
    <row r="46">
      <c r="A46" s="2" t="inlineStr">
        <is>
          <t>150-5370-10H-P0141-011</t>
        </is>
      </c>
      <c r="B46" s="2" t="inlineStr">
        <is>
          <t>150-5370-10H.pdf</t>
        </is>
      </c>
      <c r="C46" s="2" t="n">
        <v>141</v>
      </c>
      <c r="D46" s="2" t="n">
        <v>11</v>
      </c>
      <c r="E46" s="2" t="inlineStr">
        <is>
          <t>The thickness of the course shall be within +0 and -1/2 inch (12 mm) of the specified thickness as determined by depth tests taken by the Contractor in the presence of the RPR for each area.</t>
        </is>
      </c>
      <c r="F46" s="2" t="inlineStr">
        <is>
          <t>Nē</t>
        </is>
      </c>
      <c r="G46" s="2" t="n"/>
    </row>
    <row r="47">
      <c r="A47" s="2" t="inlineStr">
        <is>
          <t>150-5370-10H-P0141-012</t>
        </is>
      </c>
      <c r="B47" s="2" t="inlineStr">
        <is>
          <t>150-5370-10H.pdf</t>
        </is>
      </c>
      <c r="C47" s="2" t="n">
        <v>141</v>
      </c>
      <c r="D47" s="2" t="n">
        <v>12</v>
      </c>
      <c r="E47" s="2" t="inlineStr">
        <is>
          <t>Where the thickness is deficient by more than 1/2-inch (12 mm), the Contractor shall correct such areas at no additional cost The Contractor shall replace, at his expense, material where depth tests have been taken.</t>
        </is>
      </c>
      <c r="F47" s="2" t="inlineStr">
        <is>
          <t>Nē</t>
        </is>
      </c>
      <c r="G47" s="2" t="n"/>
    </row>
    <row r="48">
      <c r="A48" s="2" t="inlineStr">
        <is>
          <t>150-5370-10H-P0141-013</t>
        </is>
      </c>
      <c r="B48" s="2" t="inlineStr">
        <is>
          <t>150-5370-10H.pdf</t>
        </is>
      </c>
      <c r="C48" s="2" t="n">
        <v>141</v>
      </c>
      <c r="D48" s="2" t="n">
        <v>13</v>
      </c>
      <c r="E48" s="2" t="inlineStr">
        <is>
          <t>The Engineer may modify the above thickness control paragraph to permit the thickness determination by survey.</t>
        </is>
      </c>
      <c r="F48" s="2" t="inlineStr">
        <is>
          <t>Nē</t>
        </is>
      </c>
      <c r="G48" s="2" t="n"/>
    </row>
    <row r="49">
      <c r="A49" s="2" t="inlineStr">
        <is>
          <t>150-5370-10H-P0141-014</t>
        </is>
      </c>
      <c r="B49" s="2" t="inlineStr">
        <is>
          <t>150-5370-10H.pdf</t>
        </is>
      </c>
      <c r="C49" s="2" t="n">
        <v>141</v>
      </c>
      <c r="D49" s="2" t="n">
        <v>14</v>
      </c>
      <c r="E49" s="2" t="inlineStr">
        <is>
          <t>Survey shall be required before and after placement of the base.</t>
        </is>
      </c>
      <c r="F49" s="2" t="inlineStr">
        <is>
          <t>Nē</t>
        </is>
      </c>
      <c r="G49" s="2" t="n"/>
    </row>
    <row r="50">
      <c r="A50" s="2" t="inlineStr">
        <is>
          <t>150-5370-10H-P0141-015</t>
        </is>
      </c>
      <c r="B50" s="2" t="inlineStr">
        <is>
          <t>150-5370-10H.pdf</t>
        </is>
      </c>
      <c r="C50" s="2" t="n">
        <v>141</v>
      </c>
      <c r="D50" s="2" t="n">
        <v>15</v>
      </c>
      <c r="E50" s="2" t="inlineStr">
        <is>
          <t>The survey interval should be specified based on the size of the project.</t>
        </is>
      </c>
      <c r="F50" s="2" t="inlineStr">
        <is>
          <t>Nē</t>
        </is>
      </c>
      <c r="G50" s="2" t="n"/>
    </row>
    <row r="51">
      <c r="A51" s="2" t="inlineStr">
        <is>
          <t>150-5370-10H-P0141-016</t>
        </is>
      </c>
      <c r="B51" s="2" t="inlineStr">
        <is>
          <t>150-5370-10H.pdf</t>
        </is>
      </c>
      <c r="C51" s="2" t="n">
        <v>141</v>
      </c>
      <c r="D51" s="2" t="n">
        <v>16</v>
      </c>
      <c r="E51" s="2" t="inlineStr">
        <is>
          <t>155-6.11 Handling and safety.</t>
        </is>
      </c>
      <c r="F51" s="2" t="inlineStr">
        <is>
          <t>Nē</t>
        </is>
      </c>
      <c r="G51" s="2" t="n"/>
    </row>
    <row r="52">
      <c r="A52" s="2" t="inlineStr">
        <is>
          <t>150-5370-10H-P0141-017</t>
        </is>
      </c>
      <c r="B52" s="2" t="inlineStr">
        <is>
          <t>150-5370-10H.pdf</t>
        </is>
      </c>
      <c r="C52" s="2" t="n">
        <v>141</v>
      </c>
      <c r="D52" s="2" t="n">
        <v>17</v>
      </c>
      <c r="E52" s="2" t="inlineStr">
        <is>
          <t>The Contractor shall obtain and enforce the lime supplier’s instructions for proper safety and handling of the lime to prevent physical eye or skin contact with lime during transport or application.</t>
        </is>
      </c>
      <c r="F52" s="2" t="inlineStr">
        <is>
          <t>Nē</t>
        </is>
      </c>
      <c r="G52" s="2" t="n"/>
    </row>
    <row r="53">
      <c r="A53" s="2" t="inlineStr">
        <is>
          <t>150-5370-10H-P0141-018</t>
        </is>
      </c>
      <c r="B53" s="2" t="inlineStr">
        <is>
          <t>150-5370-10H.pdf</t>
        </is>
      </c>
      <c r="C53" s="2" t="n">
        <v>141</v>
      </c>
      <c r="D53" s="2" t="n">
        <v>18</v>
      </c>
      <c r="E53" s="2" t="inlineStr">
        <is>
          <t>METHOD OF MEASUREMENT</t>
        </is>
      </c>
      <c r="F53" s="2" t="inlineStr">
        <is>
          <t>Nē</t>
        </is>
      </c>
      <c r="G53" s="2" t="n"/>
    </row>
    <row r="54">
      <c r="A54" s="2" t="inlineStr">
        <is>
          <t>150-5370-10H-P0141-019</t>
        </is>
      </c>
      <c r="B54" s="2" t="inlineStr">
        <is>
          <t>150-5370-10H.pdf</t>
        </is>
      </c>
      <c r="C54" s="2" t="n">
        <v>141</v>
      </c>
      <c r="D54" s="2" t="n">
        <v>19</v>
      </c>
      <c r="E54" s="2" t="inlineStr">
        <is>
          <t>155-7.1 Lime-treated subgrade shall be paid for by the square yard (square meter) in the completed and accepted work.</t>
        </is>
      </c>
      <c r="F54" s="2" t="inlineStr">
        <is>
          <t>Nē</t>
        </is>
      </c>
      <c r="G54" s="2" t="n"/>
    </row>
    <row r="55">
      <c r="A55" s="2" t="inlineStr">
        <is>
          <t>150-5370-10H-P0141-020</t>
        </is>
      </c>
      <c r="B55" s="2" t="inlineStr">
        <is>
          <t>150-5370-10H.pdf</t>
        </is>
      </c>
      <c r="C55" s="2" t="n">
        <v>141</v>
      </c>
      <c r="D55" s="2" t="n">
        <v>20</v>
      </c>
      <c r="E55" s="2" t="inlineStr">
        <is>
          <t>155-7.2 Lime shall be paid by the number of tons (kg) of Hydrated Lime applied at the application rate specified in paragraph 155-3.1.</t>
        </is>
      </c>
      <c r="F55" s="2" t="inlineStr">
        <is>
          <t>Nē</t>
        </is>
      </c>
      <c r="G55" s="2" t="n"/>
    </row>
    <row r="56">
      <c r="A56" s="2" t="inlineStr">
        <is>
          <t>150-5370-10H-P0141-021</t>
        </is>
      </c>
      <c r="B56" s="2" t="inlineStr">
        <is>
          <t>150-5370-10H.pdf</t>
        </is>
      </c>
      <c r="C56" s="2" t="n">
        <v>141</v>
      </c>
      <c r="D56" s="2" t="n">
        <v>21</v>
      </c>
      <c r="E56" s="2" t="inlineStr">
        <is>
          <t>a. Hydrated lime delivered to the project in dry form will be measured according to the actual tonnage either spread on the subgrade or batched on site into a slurry, whichever is applicable.</t>
        </is>
      </c>
      <c r="F56" s="2" t="inlineStr">
        <is>
          <t>Nē</t>
        </is>
      </c>
      <c r="G56" s="2" t="n"/>
    </row>
    <row r="57">
      <c r="A57" s="2" t="inlineStr">
        <is>
          <t>150-5370-10H-P0141-022</t>
        </is>
      </c>
      <c r="B57" s="2" t="inlineStr">
        <is>
          <t>150-5370-10H.pdf</t>
        </is>
      </c>
      <c r="C57" s="2" t="n">
        <v>141</v>
      </c>
      <c r="D57" s="2" t="n">
        <v>22</v>
      </c>
      <c r="E57" s="2" t="inlineStr">
        <is>
          <t>b. Quicklime delivered to the project in dry form will be measured for payment on the basis of the tons of equivalent hydrated lime using the following formula:</t>
        </is>
      </c>
      <c r="F57" s="2" t="inlineStr">
        <is>
          <t>Nē</t>
        </is>
      </c>
      <c r="G57" s="2" t="n"/>
    </row>
    <row r="58">
      <c r="A58" s="2" t="inlineStr">
        <is>
          <t>150-5370-10H-P0141-023</t>
        </is>
      </c>
      <c r="B58" s="2" t="inlineStr">
        <is>
          <t>150-5370-10H.pdf</t>
        </is>
      </c>
      <c r="C58" s="2" t="n">
        <v>141</v>
      </c>
      <c r="D58" s="2" t="n">
        <v>23</v>
      </c>
      <c r="E58" s="2" t="inlineStr">
        <is>
          <t>Equivalent Hydrated Lime (Ca(OH)2) = Total Quicklime (CaO) × 1.32</t>
        </is>
      </c>
      <c r="F58" s="2" t="inlineStr">
        <is>
          <t>Nē</t>
        </is>
      </c>
      <c r="G58" s="2" t="n"/>
    </row>
    <row r="59">
      <c r="A59" s="2" t="inlineStr">
        <is>
          <t>150-5370-10H-P0141-024</t>
        </is>
      </c>
      <c r="B59" s="2" t="inlineStr">
        <is>
          <t>150-5370-10H.pdf</t>
        </is>
      </c>
      <c r="C59" s="2" t="n">
        <v>141</v>
      </c>
      <c r="D59" s="2" t="n">
        <v>24</v>
      </c>
      <c r="E59" s="2" t="inlineStr">
        <is>
          <t>Item P-155 Lime-Treated Subgrade 133</t>
        </is>
      </c>
      <c r="F59" s="2" t="inlineStr">
        <is>
          <t>Nē</t>
        </is>
      </c>
      <c r="G59" s="2" t="n"/>
    </row>
    <row r="60">
      <c r="A60" s="2" t="inlineStr">
        <is>
          <t>150-5370-10H-P0183-001</t>
        </is>
      </c>
      <c r="B60" s="2" t="inlineStr">
        <is>
          <t>150-5370-10H.pdf</t>
        </is>
      </c>
      <c r="C60" s="2" t="n">
        <v>183</v>
      </c>
      <c r="D60" s="2" t="n">
        <v>1</v>
      </c>
      <c r="E60" s="2" t="inlineStr">
        <is>
          <t>12/21/2018 AC 150/5370-10H</t>
        </is>
      </c>
      <c r="F60" s="2" t="inlineStr">
        <is>
          <t>Nē</t>
        </is>
      </c>
      <c r="G60" s="2" t="n"/>
    </row>
    <row r="61">
      <c r="A61" s="2" t="inlineStr">
        <is>
          <t>150-5370-10H-P0183-002</t>
        </is>
      </c>
      <c r="B61" s="2" t="inlineStr">
        <is>
          <t>150-5370-10H.pdf</t>
        </is>
      </c>
      <c r="C61" s="2" t="n">
        <v>183</v>
      </c>
      <c r="D61" s="2" t="n">
        <v>2</v>
      </c>
      <c r="E61" s="2" t="inlineStr">
        <is>
          <t>Gradation of Aggregate Base</t>
        </is>
      </c>
      <c r="F61" s="2" t="inlineStr">
        <is>
          <t>Nē</t>
        </is>
      </c>
      <c r="G61" s="2" t="n"/>
    </row>
    <row r="62">
      <c r="A62" s="2" t="inlineStr">
        <is>
          <t>150-5370-10H-P0183-003</t>
        </is>
      </c>
      <c r="B62" s="2" t="inlineStr">
        <is>
          <t>150-5370-10H.pdf</t>
        </is>
      </c>
      <c r="C62" s="2" t="n">
        <v>183</v>
      </c>
      <c r="D62" s="2" t="n">
        <v>3</v>
      </c>
      <c r="E62" s="2" t="inlineStr">
        <is>
          <t>Sieve Size Design Range Contractor’s Final Job Control Grading Band Percentage by Weight Gradation Tolerances1 passing (Percent)</t>
        </is>
      </c>
      <c r="F62" s="2" t="inlineStr">
        <is>
          <t>Nē</t>
        </is>
      </c>
      <c r="G62" s="2" t="n"/>
    </row>
    <row r="63">
      <c r="A63" s="2" t="inlineStr">
        <is>
          <t>150-5370-10H-P0183-004</t>
        </is>
      </c>
      <c r="B63" s="2" t="inlineStr">
        <is>
          <t>150-5370-10H.pdf</t>
        </is>
      </c>
      <c r="C63" s="2" t="n">
        <v>183</v>
      </c>
      <c r="D63" s="2" t="n">
        <v>4</v>
      </c>
      <c r="E63" s="2" t="inlineStr">
        <is>
          <t>2 inch 100 0 (50 mm) 1-1/2 inch 95-100 ±5 (37.5 mm) 1 inch 70-95 ±8 (25.0 mm) 3/4 inch 55-85 ±8 (19.0 mm) No.</t>
        </is>
      </c>
      <c r="F63" s="2" t="inlineStr">
        <is>
          <t>Nē</t>
        </is>
      </c>
      <c r="G63" s="2" t="n"/>
    </row>
    <row r="64">
      <c r="A64" s="2" t="inlineStr">
        <is>
          <t>150-5370-10H-P0183-005</t>
        </is>
      </c>
      <c r="B64" s="2" t="inlineStr">
        <is>
          <t>150-5370-10H.pdf</t>
        </is>
      </c>
      <c r="C64" s="2" t="n">
        <v>183</v>
      </c>
      <c r="D64" s="2" t="n">
        <v>5</v>
      </c>
      <c r="E64" s="2" t="inlineStr">
        <is>
          <t>4 30-60 ±8 (4.75 mm) No.</t>
        </is>
      </c>
      <c r="F64" s="2" t="inlineStr">
        <is>
          <t>Nē</t>
        </is>
      </c>
      <c r="G64" s="2" t="n"/>
    </row>
    <row r="65">
      <c r="A65" s="2" t="inlineStr">
        <is>
          <t>150-5370-10H-P0183-006</t>
        </is>
      </c>
      <c r="B65" s="2" t="inlineStr">
        <is>
          <t>150-5370-10H.pdf</t>
        </is>
      </c>
      <c r="C65" s="2" t="n">
        <v>183</v>
      </c>
      <c r="D65" s="2" t="n">
        <v>6</v>
      </c>
      <c r="E65" s="2" t="inlineStr">
        <is>
          <t>402 10-30 ±5 (425 µm) No.</t>
        </is>
      </c>
      <c r="F65" s="2" t="inlineStr">
        <is>
          <t>Nē</t>
        </is>
      </c>
      <c r="G65" s="2" t="n"/>
    </row>
    <row r="66">
      <c r="A66" s="2" t="inlineStr">
        <is>
          <t>150-5370-10H-P0183-007</t>
        </is>
      </c>
      <c r="B66" s="2" t="inlineStr">
        <is>
          <t>150-5370-10H.pdf</t>
        </is>
      </c>
      <c r="C66" s="2" t="n">
        <v>183</v>
      </c>
      <c r="D66" s="2" t="n">
        <v>7</v>
      </c>
      <c r="E66" s="2" t="inlineStr">
        <is>
          <t>2002 [ 0-10 ] ±3 (75 µm) 1 The “Job Control Grading Band Tolerances for Contractor’s Final Gradation” in the table shall be applied to “Contractor’s Final Gradation” to establish a job control grading band.</t>
        </is>
      </c>
      <c r="F66" s="2" t="inlineStr">
        <is>
          <t>Nē</t>
        </is>
      </c>
      <c r="G66" s="2" t="n"/>
    </row>
    <row r="67">
      <c r="A67" s="2" t="inlineStr">
        <is>
          <t>150-5370-10H-P0183-008</t>
        </is>
      </c>
      <c r="B67" s="2" t="inlineStr">
        <is>
          <t>150-5370-10H.pdf</t>
        </is>
      </c>
      <c r="C67" s="2" t="n">
        <v>183</v>
      </c>
      <c r="D67" s="2" t="n">
        <v>8</v>
      </c>
      <c r="E67" s="2" t="inlineStr">
        <is>
          <t>The full tolerance still applies if application of the tolerances results in a job control grading band outside the design range.</t>
        </is>
      </c>
      <c r="F67" s="2" t="inlineStr">
        <is>
          <t>Nē</t>
        </is>
      </c>
      <c r="G67" s="2" t="n"/>
    </row>
    <row r="68">
      <c r="A68" s="2" t="inlineStr">
        <is>
          <t>150-5370-10H-P0183-009</t>
        </is>
      </c>
      <c r="B68" s="2" t="inlineStr">
        <is>
          <t>150-5370-10H.pdf</t>
        </is>
      </c>
      <c r="C68" s="2" t="n">
        <v>183</v>
      </c>
      <c r="D68" s="2" t="n">
        <v>9</v>
      </c>
      <c r="E68" s="2" t="inlineStr">
        <is>
          <t>2 The fraction of material passing the No 200 (75 µm) sieve shall not exceed two-thirds the fraction passing the No 40 (425 µm) sieve.</t>
        </is>
      </c>
      <c r="F68" s="2" t="inlineStr">
        <is>
          <t>Nē</t>
        </is>
      </c>
      <c r="G68" s="2" t="n"/>
    </row>
    <row r="69">
      <c r="A69" s="2" t="inlineStr">
        <is>
          <t>150-5370-10H-P0183-010</t>
        </is>
      </c>
      <c r="B69" s="2" t="inlineStr">
        <is>
          <t>150-5370-10H.pdf</t>
        </is>
      </c>
      <c r="C69" s="2" t="n">
        <v>183</v>
      </c>
      <c r="D69" s="2" t="n">
        <v>10</v>
      </c>
      <c r="E69" s="2" t="inlineStr">
        <is>
          <t>When non frost susceptible material is required, the maximum material passing the No.</t>
        </is>
      </c>
      <c r="F69" s="2" t="inlineStr">
        <is>
          <t>Nē</t>
        </is>
      </c>
      <c r="G69" s="2" t="n"/>
    </row>
    <row r="70">
      <c r="A70" s="2" t="inlineStr">
        <is>
          <t>150-5370-10H-P0183-011</t>
        </is>
      </c>
      <c r="B70" s="2" t="inlineStr">
        <is>
          <t>150-5370-10H.pdf</t>
        </is>
      </c>
      <c r="C70" s="2" t="n">
        <v>183</v>
      </c>
      <c r="D70" s="2" t="n">
        <v>11</v>
      </c>
      <c r="E70" s="2" t="inlineStr">
        <is>
          <t>200 (75 µm) sieve shall be reduced to 0-5%.</t>
        </is>
      </c>
      <c r="F70" s="2" t="inlineStr">
        <is>
          <t>Nē</t>
        </is>
      </c>
      <c r="G70" s="2" t="n"/>
    </row>
    <row r="71">
      <c r="A71" s="2" t="inlineStr">
        <is>
          <t>150-5370-10H-P0183-012</t>
        </is>
      </c>
      <c r="B71" s="2" t="inlineStr">
        <is>
          <t>150-5370-10H.pdf</t>
        </is>
      </c>
      <c r="C71" s="2" t="n">
        <v>183</v>
      </c>
      <c r="D71" s="2" t="n">
        <v>12</v>
      </c>
      <c r="E71" s="2" t="inlineStr">
        <is>
          <t>For areas subject to substantial frost penetration into base and subgrade layers, a separation filter layer or geosynthetic separation layer is recommended.</t>
        </is>
      </c>
      <c r="F71" s="2" t="inlineStr">
        <is>
          <t>Nē</t>
        </is>
      </c>
      <c r="G71" s="2" t="n"/>
    </row>
    <row r="72">
      <c r="A72" s="2" t="inlineStr">
        <is>
          <t>150-5370-10H-P0183-013</t>
        </is>
      </c>
      <c r="B72" s="2" t="inlineStr">
        <is>
          <t>150-5370-10H.pdf</t>
        </is>
      </c>
      <c r="C72" s="2" t="n">
        <v>183</v>
      </c>
      <c r="D72" s="2" t="n">
        <v>13</v>
      </c>
      <c r="E72" s="2" t="inlineStr">
        <is>
          <t>Leave the column titled “Contractor’s Final Gradation” blank in the above table.</t>
        </is>
      </c>
      <c r="F72" s="2" t="inlineStr">
        <is>
          <t>Nē</t>
        </is>
      </c>
      <c r="G72" s="2" t="n"/>
    </row>
    <row r="73">
      <c r="A73" s="2" t="inlineStr">
        <is>
          <t>150-5370-10H-P0183-014</t>
        </is>
      </c>
      <c r="B73" s="2" t="inlineStr">
        <is>
          <t>150-5370-10H.pdf</t>
        </is>
      </c>
      <c r="C73" s="2" t="n">
        <v>183</v>
      </c>
      <c r="D73" s="2" t="n">
        <v>14</v>
      </c>
      <c r="E73" s="2" t="inlineStr">
        <is>
          <t>The Contractor’s Final Gradation approved by the Engineer/RPR will be used to populate this column and the “Job Control Grading Band Tolerances for Contractor’s Final Gradation” will apply to this column for the project duration, and these limits establish quality control action limits for the Contractor.</t>
        </is>
      </c>
      <c r="F73" s="2" t="inlineStr">
        <is>
          <t>Nē</t>
        </is>
      </c>
      <c r="G73" s="2" t="n"/>
    </row>
    <row r="74">
      <c r="A74" s="2" t="inlineStr">
        <is>
          <t>150-5370-10H-P0183-015</t>
        </is>
      </c>
      <c r="B74" s="2" t="inlineStr">
        <is>
          <t>150-5370-10H.pdf</t>
        </is>
      </c>
      <c r="C74" s="2" t="n">
        <v>183</v>
      </c>
      <c r="D74" s="2" t="n">
        <v>15</v>
      </c>
      <c r="E74" s="2" t="inlineStr">
        <is>
          <t>209-2.3 Sampling and Testing.</t>
        </is>
      </c>
      <c r="F74" s="2" t="inlineStr">
        <is>
          <t>Nē</t>
        </is>
      </c>
      <c r="G74" s="2" t="n"/>
    </row>
    <row r="75">
      <c r="A75" s="2" t="inlineStr">
        <is>
          <t>150-5370-10H-P0183-016</t>
        </is>
      </c>
      <c r="B75" s="2" t="inlineStr">
        <is>
          <t>150-5370-10H.pdf</t>
        </is>
      </c>
      <c r="C75" s="2" t="n">
        <v>183</v>
      </c>
      <c r="D75" s="2" t="n">
        <v>16</v>
      </c>
      <c r="E75" s="2" t="inlineStr">
        <is>
          <t>a. Aggregate base materials.</t>
        </is>
      </c>
      <c r="F75" s="2" t="inlineStr">
        <is>
          <t>Nē</t>
        </is>
      </c>
      <c r="G75" s="2" t="n"/>
    </row>
    <row r="76">
      <c r="A76" s="2" t="inlineStr">
        <is>
          <t>150-5370-10H-P0183-017</t>
        </is>
      </c>
      <c r="B76" s="2" t="inlineStr">
        <is>
          <t>150-5370-10H.pdf</t>
        </is>
      </c>
      <c r="C76" s="2" t="n">
        <v>183</v>
      </c>
      <c r="D76" s="2" t="n">
        <v>17</v>
      </c>
      <c r="E76" s="2" t="inlineStr">
        <is>
          <t>The Contractor shall take samples of the aggregate base in accordance with ASTM D75 to verify initial aggregate base requirements and gradation.</t>
        </is>
      </c>
      <c r="F76" s="2" t="inlineStr">
        <is>
          <t>Nē</t>
        </is>
      </c>
      <c r="G76" s="2" t="n"/>
    </row>
    <row r="77">
      <c r="A77" s="2" t="inlineStr">
        <is>
          <t>150-5370-10H-P0183-018</t>
        </is>
      </c>
      <c r="B77" s="2" t="inlineStr">
        <is>
          <t>150-5370-10H.pdf</t>
        </is>
      </c>
      <c r="C77" s="2" t="n">
        <v>183</v>
      </c>
      <c r="D77" s="2" t="n">
        <v>18</v>
      </c>
      <c r="E77" s="2" t="inlineStr">
        <is>
          <t>Material shall meet the requirements in paragraph 209-2.1.</t>
        </is>
      </c>
      <c r="F77" s="2" t="inlineStr">
        <is>
          <t>Nē</t>
        </is>
      </c>
      <c r="G77" s="2" t="n"/>
    </row>
    <row r="78">
      <c r="A78" s="2" t="inlineStr">
        <is>
          <t>150-5370-10H-P0183-019</t>
        </is>
      </c>
      <c r="B78" s="2" t="inlineStr">
        <is>
          <t>150-5370-10H.pdf</t>
        </is>
      </c>
      <c r="C78" s="2" t="n">
        <v>183</v>
      </c>
      <c r="D78" s="2" t="n">
        <v>19</v>
      </c>
      <c r="E78" s="2" t="inlineStr">
        <is>
          <t>This sampling and testing will be the basis for approval of the aggregate base quality requirements.</t>
        </is>
      </c>
      <c r="F78" s="2" t="inlineStr">
        <is>
          <t>Nē</t>
        </is>
      </c>
      <c r="G78" s="2" t="n"/>
    </row>
    <row r="79">
      <c r="A79" s="2" t="inlineStr">
        <is>
          <t>150-5370-10H-P0183-020</t>
        </is>
      </c>
      <c r="B79" s="2" t="inlineStr">
        <is>
          <t>150-5370-10H.pdf</t>
        </is>
      </c>
      <c r="C79" s="2" t="n">
        <v>183</v>
      </c>
      <c r="D79" s="2" t="n">
        <v>20</v>
      </c>
      <c r="E79" s="2" t="inlineStr">
        <is>
          <t>b. Gradation requirements.</t>
        </is>
      </c>
      <c r="F79" s="2" t="inlineStr">
        <is>
          <t>Nē</t>
        </is>
      </c>
      <c r="G79" s="2" t="n"/>
    </row>
    <row r="80">
      <c r="A80" s="2" t="inlineStr">
        <is>
          <t>150-5370-10H-P0183-021</t>
        </is>
      </c>
      <c r="B80" s="2" t="inlineStr">
        <is>
          <t>150-5370-10H.pdf</t>
        </is>
      </c>
      <c r="C80" s="2" t="n">
        <v>183</v>
      </c>
      <c r="D80" s="2" t="n">
        <v>21</v>
      </c>
      <c r="E80" s="2" t="inlineStr">
        <is>
          <t>The Contractor shall take at least [ two ] aggregate base samples per day in the presence of the Resident Project Representative (RPR) to check the final gradation.</t>
        </is>
      </c>
      <c r="F80" s="2" t="inlineStr">
        <is>
          <t>Nē</t>
        </is>
      </c>
      <c r="G80" s="2" t="n"/>
    </row>
    <row r="81">
      <c r="A81" s="2" t="inlineStr">
        <is>
          <t>150-5370-10H-P0183-022</t>
        </is>
      </c>
      <c r="B81" s="2" t="inlineStr">
        <is>
          <t>150-5370-10H.pdf</t>
        </is>
      </c>
      <c r="C81" s="2" t="n">
        <v>183</v>
      </c>
      <c r="D81" s="2" t="n">
        <v>22</v>
      </c>
      <c r="E81" s="2" t="inlineStr">
        <is>
          <t>Sampling shall be per ASTM D75.</t>
        </is>
      </c>
      <c r="F81" s="2" t="inlineStr">
        <is>
          <t>Nē</t>
        </is>
      </c>
      <c r="G81" s="2" t="n"/>
    </row>
    <row r="82">
      <c r="A82" s="2" t="inlineStr">
        <is>
          <t>150-5370-10H-P0183-023</t>
        </is>
      </c>
      <c r="B82" s="2" t="inlineStr">
        <is>
          <t>150-5370-10H.pdf</t>
        </is>
      </c>
      <c r="C82" s="2" t="n">
        <v>183</v>
      </c>
      <c r="D82" s="2" t="n">
        <v>23</v>
      </c>
      <c r="E82" s="2" t="inlineStr">
        <is>
          <t>Material shall meet the requirements in paragraph 209-2.2.</t>
        </is>
      </c>
      <c r="F82" s="2" t="inlineStr">
        <is>
          <t>Nē</t>
        </is>
      </c>
      <c r="G82" s="2" t="n"/>
    </row>
    <row r="83">
      <c r="A83" s="2" t="inlineStr">
        <is>
          <t>150-5370-10H-P0183-024</t>
        </is>
      </c>
      <c r="B83" s="2" t="inlineStr">
        <is>
          <t>150-5370-10H.pdf</t>
        </is>
      </c>
      <c r="C83" s="2" t="n">
        <v>183</v>
      </c>
      <c r="D83" s="2" t="n">
        <v>24</v>
      </c>
      <c r="E83" s="2" t="inlineStr">
        <is>
          <t>The samples shall be taken from the in-place, un-compacted material at sampling points and intervals designated by the RPR.</t>
        </is>
      </c>
      <c r="F83" s="2" t="inlineStr">
        <is>
          <t>Nē</t>
        </is>
      </c>
      <c r="G83" s="2" t="n"/>
    </row>
    <row r="84">
      <c r="A84" s="2" t="inlineStr">
        <is>
          <t>150-5370-10H-P0183-025</t>
        </is>
      </c>
      <c r="B84" s="2" t="inlineStr">
        <is>
          <t>150-5370-10H.pdf</t>
        </is>
      </c>
      <c r="C84" s="2" t="n">
        <v>183</v>
      </c>
      <c r="D84" s="2" t="n">
        <v>25</v>
      </c>
      <c r="E84" s="2" t="inlineStr">
        <is>
          <t>Item P-209 Crushed Aggregate Base Course 175</t>
        </is>
      </c>
      <c r="F84" s="2" t="inlineStr">
        <is>
          <t>Nē</t>
        </is>
      </c>
      <c r="G84" s="2" t="n"/>
    </row>
    <row r="85">
      <c r="A85" s="2" t="inlineStr">
        <is>
          <t>150-5370-10H-P0242-001</t>
        </is>
      </c>
      <c r="B85" s="2" t="inlineStr">
        <is>
          <t>150-5370-10H.pdf</t>
        </is>
      </c>
      <c r="C85" s="2" t="n">
        <v>242</v>
      </c>
      <c r="D85" s="2" t="n">
        <v>1</v>
      </c>
      <c r="E85" s="2" t="inlineStr">
        <is>
          <t>12/21/2018 AC 150/5370-10H</t>
        </is>
      </c>
      <c r="F85" s="2" t="inlineStr">
        <is>
          <t>Nē</t>
        </is>
      </c>
      <c r="G85" s="2" t="n"/>
    </row>
    <row r="86">
      <c r="A86" s="2" t="inlineStr">
        <is>
          <t>150-5370-10H-P0242-002</t>
        </is>
      </c>
      <c r="B86" s="2" t="inlineStr">
        <is>
          <t>150-5370-10H.pdf</t>
        </is>
      </c>
      <c r="C86" s="2" t="n">
        <v>242</v>
      </c>
      <c r="D86" s="2" t="n">
        <v>2</v>
      </c>
      <c r="E86" s="2" t="inlineStr">
        <is>
          <t>Gradations that meet locally available aggregate similar to P-209 gradation are acceptable.</t>
        </is>
      </c>
      <c r="F86" s="2" t="inlineStr">
        <is>
          <t>Nē</t>
        </is>
      </c>
      <c r="G86" s="2" t="n"/>
    </row>
    <row r="87">
      <c r="A87" s="2" t="inlineStr">
        <is>
          <t>150-5370-10H-P0242-003</t>
        </is>
      </c>
      <c r="B87" s="2" t="inlineStr">
        <is>
          <t>150-5370-10H.pdf</t>
        </is>
      </c>
      <c r="C87" s="2" t="n">
        <v>242</v>
      </c>
      <c r="D87" s="2" t="n">
        <v>3</v>
      </c>
      <c r="E87" s="2" t="inlineStr">
        <is>
          <t>304-2.3 Sampling and testing.</t>
        </is>
      </c>
      <c r="F87" s="2" t="inlineStr">
        <is>
          <t>Nē</t>
        </is>
      </c>
      <c r="G87" s="2" t="n"/>
    </row>
    <row r="88">
      <c r="A88" s="2" t="inlineStr">
        <is>
          <t>150-5370-10H-P0242-004</t>
        </is>
      </c>
      <c r="B88" s="2" t="inlineStr">
        <is>
          <t>150-5370-10H.pdf</t>
        </is>
      </c>
      <c r="C88" s="2" t="n">
        <v>242</v>
      </c>
      <c r="D88" s="2" t="n">
        <v>4</v>
      </c>
      <c r="E88" s="2" t="inlineStr">
        <is>
          <t>a. Aggregate base materials.</t>
        </is>
      </c>
      <c r="F88" s="2" t="inlineStr">
        <is>
          <t>Nē</t>
        </is>
      </c>
      <c r="G88" s="2" t="n"/>
    </row>
    <row r="89">
      <c r="A89" s="2" t="inlineStr">
        <is>
          <t>150-5370-10H-P0242-005</t>
        </is>
      </c>
      <c r="B89" s="2" t="inlineStr">
        <is>
          <t>150-5370-10H.pdf</t>
        </is>
      </c>
      <c r="C89" s="2" t="n">
        <v>242</v>
      </c>
      <c r="D89" s="2" t="n">
        <v>5</v>
      </c>
      <c r="E89" s="2" t="inlineStr">
        <is>
          <t>The Contractor shall take samples of the aggregate base stockpile in accordance with ASTM D75 to verify initial aggregate base requirements and gradation.</t>
        </is>
      </c>
      <c r="F89" s="2" t="inlineStr">
        <is>
          <t>Nē</t>
        </is>
      </c>
      <c r="G89" s="2" t="n"/>
    </row>
    <row r="90">
      <c r="A90" s="2" t="inlineStr">
        <is>
          <t>150-5370-10H-P0242-006</t>
        </is>
      </c>
      <c r="B90" s="2" t="inlineStr">
        <is>
          <t>150-5370-10H.pdf</t>
        </is>
      </c>
      <c r="C90" s="2" t="n">
        <v>242</v>
      </c>
      <c r="D90" s="2" t="n">
        <v>6</v>
      </c>
      <c r="E90" s="2" t="inlineStr">
        <is>
          <t>Material shall meet the requirements in paragraphs 304-2.1 and 304-2.2.</t>
        </is>
      </c>
      <c r="F90" s="2" t="inlineStr">
        <is>
          <t>Nē</t>
        </is>
      </c>
      <c r="G90" s="2" t="n"/>
    </row>
    <row r="91">
      <c r="A91" s="2" t="inlineStr">
        <is>
          <t>150-5370-10H-P0242-007</t>
        </is>
      </c>
      <c r="B91" s="2" t="inlineStr">
        <is>
          <t>150-5370-10H.pdf</t>
        </is>
      </c>
      <c r="C91" s="2" t="n">
        <v>242</v>
      </c>
      <c r="D91" s="2" t="n">
        <v>7</v>
      </c>
      <c r="E91" s="2" t="inlineStr">
        <is>
          <t>This sampling and testing will be the basis for approval of the aggregate base quality requirements.</t>
        </is>
      </c>
      <c r="F91" s="2" t="inlineStr">
        <is>
          <t>Nē</t>
        </is>
      </c>
      <c r="G91" s="2" t="n"/>
    </row>
    <row r="92">
      <c r="A92" s="2" t="inlineStr">
        <is>
          <t>150-5370-10H-P0242-008</t>
        </is>
      </c>
      <c r="B92" s="2" t="inlineStr">
        <is>
          <t>150-5370-10H.pdf</t>
        </is>
      </c>
      <c r="C92" s="2" t="n">
        <v>242</v>
      </c>
      <c r="D92" s="2" t="n">
        <v>8</v>
      </c>
      <c r="E92" s="2" t="inlineStr">
        <is>
          <t>The Engineer shall define when additional sampling points are needed in the above paragraph.</t>
        </is>
      </c>
      <c r="F92" s="2" t="inlineStr">
        <is>
          <t>Nē</t>
        </is>
      </c>
      <c r="G92" s="2" t="n"/>
    </row>
    <row r="93">
      <c r="A93" s="2" t="inlineStr">
        <is>
          <t>150-5370-10H-P0242-009</t>
        </is>
      </c>
      <c r="B93" s="2" t="inlineStr">
        <is>
          <t>150-5370-10H.pdf</t>
        </is>
      </c>
      <c r="C93" s="2" t="n">
        <v>242</v>
      </c>
      <c r="D93" s="2" t="n">
        <v>9</v>
      </c>
      <c r="E93" s="2" t="inlineStr">
        <is>
          <t>304-2.4 Cement.</t>
        </is>
      </c>
      <c r="F93" s="2" t="inlineStr">
        <is>
          <t>Nē</t>
        </is>
      </c>
      <c r="G93" s="2" t="n"/>
    </row>
    <row r="94">
      <c r="A94" s="2" t="inlineStr">
        <is>
          <t>150-5370-10H-P0242-010</t>
        </is>
      </c>
      <c r="B94" s="2" t="inlineStr">
        <is>
          <t>150-5370-10H.pdf</t>
        </is>
      </c>
      <c r="C94" s="2" t="n">
        <v>242</v>
      </c>
      <c r="D94" s="2" t="n">
        <v>10</v>
      </c>
      <c r="E94" s="2" t="inlineStr">
        <is>
          <t>Cement shall conform to the requirements of ASTM [ ].</t>
        </is>
      </c>
      <c r="F94" s="2" t="inlineStr">
        <is>
          <t>Nē</t>
        </is>
      </c>
      <c r="G94" s="2" t="n"/>
    </row>
    <row r="95">
      <c r="A95" s="2" t="inlineStr">
        <is>
          <t>150-5370-10H-P0242-011</t>
        </is>
      </c>
      <c r="B95" s="2" t="inlineStr">
        <is>
          <t>150-5370-10H.pdf</t>
        </is>
      </c>
      <c r="C95" s="2" t="n">
        <v>242</v>
      </c>
      <c r="D95" s="2" t="n">
        <v>11</v>
      </c>
      <c r="E95" s="2" t="inlineStr">
        <is>
          <t>The Engineer shall specify ASTM C150, [ Type I ] [ Type I or II ] [ Type II, low alkali ] or ASTM C595 [ Type IP ] [ Type IL ].</t>
        </is>
      </c>
      <c r="F95" s="2" t="inlineStr">
        <is>
          <t>Nē</t>
        </is>
      </c>
      <c r="G95" s="2" t="n"/>
    </row>
    <row r="96">
      <c r="A96" s="2" t="inlineStr">
        <is>
          <t>150-5370-10H-P0242-012</t>
        </is>
      </c>
      <c r="B96" s="2" t="inlineStr">
        <is>
          <t>150-5370-10H.pdf</t>
        </is>
      </c>
      <c r="C96" s="2" t="n">
        <v>242</v>
      </c>
      <c r="D96" s="2" t="n">
        <v>12</v>
      </c>
      <c r="E96" s="2" t="inlineStr">
        <is>
          <t>304-2.5 Cementitious additives.</t>
        </is>
      </c>
      <c r="F96" s="2" t="inlineStr">
        <is>
          <t>Nē</t>
        </is>
      </c>
      <c r="G96" s="2" t="n"/>
    </row>
    <row r="97">
      <c r="A97" s="2" t="inlineStr">
        <is>
          <t>150-5370-10H-P0242-013</t>
        </is>
      </c>
      <c r="B97" s="2" t="inlineStr">
        <is>
          <t>150-5370-10H.pdf</t>
        </is>
      </c>
      <c r="C97" s="2" t="n">
        <v>242</v>
      </c>
      <c r="D97" s="2" t="n">
        <v>13</v>
      </c>
      <c r="E97" s="2" t="inlineStr">
        <is>
          <t>Pozzolanic and slag cement may be added to the CTB mix.</t>
        </is>
      </c>
      <c r="F97" s="2" t="inlineStr">
        <is>
          <t>Nē</t>
        </is>
      </c>
      <c r="G97" s="2" t="n"/>
    </row>
    <row r="98">
      <c r="A98" s="2" t="inlineStr">
        <is>
          <t>150-5370-10H-P0242-014</t>
        </is>
      </c>
      <c r="B98" s="2" t="inlineStr">
        <is>
          <t>150-5370-10H.pdf</t>
        </is>
      </c>
      <c r="C98" s="2" t="n">
        <v>242</v>
      </c>
      <c r="D98" s="2" t="n">
        <v>14</v>
      </c>
      <c r="E98" s="2" t="inlineStr">
        <is>
          <t>If used, each material must meet the following requirements:</t>
        </is>
      </c>
      <c r="F98" s="2" t="inlineStr">
        <is>
          <t>Nē</t>
        </is>
      </c>
      <c r="G98" s="2" t="n"/>
    </row>
    <row r="99">
      <c r="A99" s="2" t="inlineStr">
        <is>
          <t>150-5370-10H-P0242-015</t>
        </is>
      </c>
      <c r="B99" s="2" t="inlineStr">
        <is>
          <t>150-5370-10H.pdf</t>
        </is>
      </c>
      <c r="C99" s="2" t="n">
        <v>242</v>
      </c>
      <c r="D99" s="2" t="n">
        <v>15</v>
      </c>
      <c r="E99" s="2" t="inlineStr">
        <is>
          <t>a. Pozzolan.</t>
        </is>
      </c>
      <c r="F99" s="2" t="inlineStr">
        <is>
          <t>Nē</t>
        </is>
      </c>
      <c r="G99" s="2" t="n"/>
    </row>
    <row r="100">
      <c r="A100" s="2" t="inlineStr">
        <is>
          <t>150-5370-10H-P0242-016</t>
        </is>
      </c>
      <c r="B100" s="2" t="inlineStr">
        <is>
          <t>150-5370-10H.pdf</t>
        </is>
      </c>
      <c r="C100" s="2" t="n">
        <v>242</v>
      </c>
      <c r="D100" s="2" t="n">
        <v>16</v>
      </c>
      <c r="E100" s="2" t="inlineStr">
        <is>
          <t>Pozzolanic materials must meet the requirements of ASTM C618, Class F, or N with the exception of loss of ignition, where the maximum shall be less than 6%.</t>
        </is>
      </c>
      <c r="F100" s="2" t="inlineStr">
        <is>
          <t>Nē</t>
        </is>
      </c>
      <c r="G100" s="2" t="n"/>
    </row>
    <row r="101">
      <c r="A101" s="2" t="inlineStr">
        <is>
          <t>150-5370-10H-P0242-017</t>
        </is>
      </c>
      <c r="B101" s="2" t="inlineStr">
        <is>
          <t>150-5370-10H.pdf</t>
        </is>
      </c>
      <c r="C101" s="2" t="n">
        <v>242</v>
      </c>
      <c r="D101" s="2" t="n">
        <v>17</v>
      </c>
      <c r="E101" s="2" t="inlineStr">
        <is>
          <t>[ The supplementary optional physical requirements of Table 3 contained in ASTM C618 shall apply. ]</t>
        </is>
      </c>
      <c r="F101" s="2" t="inlineStr">
        <is>
          <t>Nē</t>
        </is>
      </c>
      <c r="G101" s="2" t="n"/>
    </row>
    <row r="102">
      <c r="A102" s="2" t="inlineStr">
        <is>
          <t>150-5370-10H-P0242-018</t>
        </is>
      </c>
      <c r="B102" s="2" t="inlineStr">
        <is>
          <t>150-5370-10H.pdf</t>
        </is>
      </c>
      <c r="C102" s="2" t="n">
        <v>242</v>
      </c>
      <c r="D102" s="2" t="n">
        <v>18</v>
      </c>
      <c r="E102" s="2" t="inlineStr">
        <is>
          <t>b. Slag cement (ground granulated blast furnace (GGBF) slag).</t>
        </is>
      </c>
      <c r="F102" s="2" t="inlineStr">
        <is>
          <t>Nē</t>
        </is>
      </c>
      <c r="G102" s="2" t="n"/>
    </row>
    <row r="103">
      <c r="A103" s="2" t="inlineStr">
        <is>
          <t>150-5370-10H-P0242-019</t>
        </is>
      </c>
      <c r="B103" s="2" t="inlineStr">
        <is>
          <t>150-5370-10H.pdf</t>
        </is>
      </c>
      <c r="C103" s="2" t="n">
        <v>242</v>
      </c>
      <c r="D103" s="2" t="n">
        <v>19</v>
      </c>
      <c r="E103" s="2" t="inlineStr">
        <is>
          <t>Slag shall conform to ASTM C989, Grade 100, or 120.</t>
        </is>
      </c>
      <c r="F103" s="2" t="inlineStr">
        <is>
          <t>Nē</t>
        </is>
      </c>
      <c r="G103" s="2" t="n"/>
    </row>
    <row r="104">
      <c r="A104" s="2" t="inlineStr">
        <is>
          <t>150-5370-10H-P0242-020</t>
        </is>
      </c>
      <c r="B104" s="2" t="inlineStr">
        <is>
          <t>150-5370-10H.pdf</t>
        </is>
      </c>
      <c r="C104" s="2" t="n">
        <v>242</v>
      </c>
      <c r="D104" s="2" t="n">
        <v>20</v>
      </c>
      <c r="E104" s="2" t="inlineStr">
        <is>
          <t>304-2.6 Water.</t>
        </is>
      </c>
      <c r="F104" s="2" t="inlineStr">
        <is>
          <t>Nē</t>
        </is>
      </c>
      <c r="G104" s="2" t="n"/>
    </row>
    <row r="105">
      <c r="A105" s="2" t="inlineStr">
        <is>
          <t>150-5370-10H-P0242-021</t>
        </is>
      </c>
      <c r="B105" s="2" t="inlineStr">
        <is>
          <t>150-5370-10H.pdf</t>
        </is>
      </c>
      <c r="C105" s="2" t="n">
        <v>242</v>
      </c>
      <c r="D105" s="2" t="n">
        <v>21</v>
      </c>
      <c r="E105" s="2" t="inlineStr">
        <is>
          <t>Water used in mixing or curing shall be from potable water sources.</t>
        </is>
      </c>
      <c r="F105" s="2" t="inlineStr">
        <is>
          <t>Nē</t>
        </is>
      </c>
      <c r="G105" s="2" t="n"/>
    </row>
    <row r="106">
      <c r="A106" s="2" t="inlineStr">
        <is>
          <t>150-5370-10H-P0242-022</t>
        </is>
      </c>
      <c r="B106" s="2" t="inlineStr">
        <is>
          <t>150-5370-10H.pdf</t>
        </is>
      </c>
      <c r="C106" s="2" t="n">
        <v>242</v>
      </c>
      <c r="D106" s="2" t="n">
        <v>22</v>
      </c>
      <c r="E106" s="2" t="inlineStr">
        <is>
          <t>Other sources shall be tested in accordance with ASTM C1602 prior to use.</t>
        </is>
      </c>
      <c r="F106" s="2" t="inlineStr">
        <is>
          <t>Nē</t>
        </is>
      </c>
      <c r="G106" s="2" t="n"/>
    </row>
    <row r="107">
      <c r="A107" s="2" t="inlineStr">
        <is>
          <t>150-5370-10H-P0242-023</t>
        </is>
      </c>
      <c r="B107" s="2" t="inlineStr">
        <is>
          <t>150-5370-10H.pdf</t>
        </is>
      </c>
      <c r="C107" s="2" t="n">
        <v>242</v>
      </c>
      <c r="D107" s="2" t="n">
        <v>23</v>
      </c>
      <c r="E107" s="2" t="inlineStr">
        <is>
          <t>304-2.7 Curing materials.</t>
        </is>
      </c>
      <c r="F107" s="2" t="inlineStr">
        <is>
          <t>Nē</t>
        </is>
      </c>
      <c r="G107" s="2" t="n"/>
    </row>
    <row r="108">
      <c r="A108" s="2" t="inlineStr">
        <is>
          <t>150-5370-10H-P0242-024</t>
        </is>
      </c>
      <c r="B108" s="2" t="inlineStr">
        <is>
          <t>150-5370-10H.pdf</t>
        </is>
      </c>
      <c r="C108" s="2" t="n">
        <v>242</v>
      </c>
      <c r="D108" s="2" t="n">
        <v>24</v>
      </c>
      <c r="E108" s="2" t="inlineStr">
        <is>
          <t>Curing material shall be [ a white-pigmented, liquid membrane-forming compound conforming to ASTM C309, Type 2, Class A or Class B (wax-based). ] [ [ an emulsified asphalt conforming to ASTM</t>
        </is>
      </c>
      <c r="F108" s="2" t="inlineStr">
        <is>
          <t>Nē</t>
        </is>
      </c>
      <c r="G108" s="2" t="n"/>
    </row>
    <row r="109">
      <c r="A109" s="2" t="inlineStr">
        <is>
          <t>150-5370-10H-P0242-025</t>
        </is>
      </c>
      <c r="B109" s="2" t="inlineStr">
        <is>
          <t>150-5370-10H.pdf</t>
        </is>
      </c>
      <c r="C109" s="2" t="n">
        <v>242</v>
      </c>
      <c r="D109" s="2" t="n">
        <v>25</v>
      </c>
      <c r="E109" s="2" t="inlineStr">
        <is>
          <t>D977. ]</t>
        </is>
      </c>
      <c r="F109" s="2" t="inlineStr">
        <is>
          <t>Nē</t>
        </is>
      </c>
      <c r="G109" s="2" t="n"/>
    </row>
    <row r="110">
      <c r="A110" s="2" t="inlineStr">
        <is>
          <t>150-5370-10H-P0242-026</t>
        </is>
      </c>
      <c r="B110" s="2" t="inlineStr">
        <is>
          <t>150-5370-10H.pdf</t>
        </is>
      </c>
      <c r="C110" s="2" t="n">
        <v>242</v>
      </c>
      <c r="D110" s="2" t="n">
        <v>26</v>
      </c>
      <c r="E110" s="2" t="inlineStr">
        <is>
          <t>For curing CTB placed under concrete pavement, use white-pigmented, liquid membrane-forming compound.</t>
        </is>
      </c>
      <c r="F110" s="2" t="inlineStr">
        <is>
          <t>Nē</t>
        </is>
      </c>
      <c r="G110" s="2" t="n"/>
    </row>
    <row r="111">
      <c r="A111" s="2" t="inlineStr">
        <is>
          <t>150-5370-10H-P0242-027</t>
        </is>
      </c>
      <c r="B111" s="2" t="inlineStr">
        <is>
          <t>150-5370-10H.pdf</t>
        </is>
      </c>
      <c r="C111" s="2" t="n">
        <v>242</v>
      </c>
      <c r="D111" s="2" t="n">
        <v>27</v>
      </c>
      <c r="E111" s="2" t="inlineStr">
        <is>
          <t>Item P-304 Cement-Treated Aggregate Base Course (CTB) 234</t>
        </is>
      </c>
      <c r="F111" s="2" t="inlineStr">
        <is>
          <t>Nē</t>
        </is>
      </c>
      <c r="G111" s="2" t="n"/>
    </row>
    <row r="112">
      <c r="A112" s="2" t="inlineStr">
        <is>
          <t>150-5370-10H-P0310-001</t>
        </is>
      </c>
      <c r="B112" s="2" t="inlineStr">
        <is>
          <t>150-5370-10H.pdf</t>
        </is>
      </c>
      <c r="C112" s="2" t="n">
        <v>310</v>
      </c>
      <c r="D112" s="2" t="n">
        <v>1</v>
      </c>
      <c r="E112" s="2" t="inlineStr">
        <is>
          <t>12/21/2018 AC 150/5370-10H</t>
        </is>
      </c>
      <c r="F112" s="2" t="inlineStr">
        <is>
          <t>Nē</t>
        </is>
      </c>
      <c r="G112" s="2" t="n"/>
    </row>
    <row r="113">
      <c r="A113" s="2" t="inlineStr">
        <is>
          <t>150-5370-10H-P0310-002</t>
        </is>
      </c>
      <c r="B113" s="2" t="inlineStr">
        <is>
          <t>150-5370-10H.pdf</t>
        </is>
      </c>
      <c r="C113" s="2" t="n">
        <v>310</v>
      </c>
      <c r="D113" s="2" t="n">
        <v>2</v>
      </c>
      <c r="E113" s="2" t="inlineStr">
        <is>
          <t>Table 2.</t>
        </is>
      </c>
      <c r="F113" s="2" t="inlineStr">
        <is>
          <t>Nē</t>
        </is>
      </c>
      <c r="G113" s="2" t="n"/>
    </row>
    <row r="114">
      <c r="A114" s="2" t="inlineStr">
        <is>
          <t>150-5370-10H-P0310-003</t>
        </is>
      </c>
      <c r="B114" s="2" t="inlineStr">
        <is>
          <t>150-5370-10H.pdf</t>
        </is>
      </c>
      <c r="C114" s="2" t="n">
        <v>310</v>
      </c>
      <c r="D114" s="2" t="n">
        <v>3</v>
      </c>
      <c r="E114" s="2" t="inlineStr">
        <is>
          <t>Aggregate - Asphalt Pavements</t>
        </is>
      </c>
      <c r="F114" s="2" t="inlineStr">
        <is>
          <t>Nē</t>
        </is>
      </c>
      <c r="G114" s="2" t="n"/>
    </row>
    <row r="115">
      <c r="A115" s="2" t="inlineStr">
        <is>
          <t>150-5370-10H-P0310-004</t>
        </is>
      </c>
      <c r="B115" s="2" t="inlineStr">
        <is>
          <t>150-5370-10H.pdf</t>
        </is>
      </c>
      <c r="C115" s="2" t="n">
        <v>310</v>
      </c>
      <c r="D115" s="2" t="n">
        <v>4</v>
      </c>
      <c r="E115" s="2" t="inlineStr">
        <is>
          <t>Percentage by Weight Sieve Size Passing Sieve 1 inch (25.0 mm) * 3/4 inch (19.0 mm) * 1/2 inch (12.5 mm) * 3/8 inch (9.5 mm) * No.</t>
        </is>
      </c>
      <c r="F115" s="2" t="inlineStr">
        <is>
          <t>Nē</t>
        </is>
      </c>
      <c r="G115" s="2" t="n"/>
    </row>
    <row r="116">
      <c r="A116" s="2" t="inlineStr">
        <is>
          <t>150-5370-10H-P0310-005</t>
        </is>
      </c>
      <c r="B116" s="2" t="inlineStr">
        <is>
          <t>150-5370-10H.pdf</t>
        </is>
      </c>
      <c r="C116" s="2" t="n">
        <v>310</v>
      </c>
      <c r="D116" s="2" t="n">
        <v>5</v>
      </c>
      <c r="E116" s="2" t="inlineStr">
        <is>
          <t>4 (4.75 mm) * No.</t>
        </is>
      </c>
      <c r="F116" s="2" t="inlineStr">
        <is>
          <t>Nē</t>
        </is>
      </c>
      <c r="G116" s="2" t="n"/>
    </row>
    <row r="117">
      <c r="A117" s="2" t="inlineStr">
        <is>
          <t>150-5370-10H-P0310-006</t>
        </is>
      </c>
      <c r="B117" s="2" t="inlineStr">
        <is>
          <t>150-5370-10H.pdf</t>
        </is>
      </c>
      <c r="C117" s="2" t="n">
        <v>310</v>
      </c>
      <c r="D117" s="2" t="n">
        <v>6</v>
      </c>
      <c r="E117" s="2" t="inlineStr">
        <is>
          <t>8 (2.36 mm) * No.</t>
        </is>
      </c>
      <c r="F117" s="2" t="inlineStr">
        <is>
          <t>Nē</t>
        </is>
      </c>
      <c r="G117" s="2" t="n"/>
    </row>
    <row r="118">
      <c r="A118" s="2" t="inlineStr">
        <is>
          <t>150-5370-10H-P0310-007</t>
        </is>
      </c>
      <c r="B118" s="2" t="inlineStr">
        <is>
          <t>150-5370-10H.pdf</t>
        </is>
      </c>
      <c r="C118" s="2" t="n">
        <v>310</v>
      </c>
      <c r="D118" s="2" t="n">
        <v>7</v>
      </c>
      <c r="E118" s="2" t="inlineStr">
        <is>
          <t>16 (1.18 mm) * No.</t>
        </is>
      </c>
      <c r="F118" s="2" t="inlineStr">
        <is>
          <t>Nē</t>
        </is>
      </c>
      <c r="G118" s="2" t="n"/>
    </row>
    <row r="119">
      <c r="A119" s="2" t="inlineStr">
        <is>
          <t>150-5370-10H-P0310-008</t>
        </is>
      </c>
      <c r="B119" s="2" t="inlineStr">
        <is>
          <t>150-5370-10H.pdf</t>
        </is>
      </c>
      <c r="C119" s="2" t="n">
        <v>310</v>
      </c>
      <c r="D119" s="2" t="n">
        <v>8</v>
      </c>
      <c r="E119" s="2" t="inlineStr">
        <is>
          <t>30 (600 µm) * No.</t>
        </is>
      </c>
      <c r="F119" s="2" t="inlineStr">
        <is>
          <t>Nē</t>
        </is>
      </c>
      <c r="G119" s="2" t="n"/>
    </row>
    <row r="120">
      <c r="A120" s="2" t="inlineStr">
        <is>
          <t>150-5370-10H-P0310-009</t>
        </is>
      </c>
      <c r="B120" s="2" t="inlineStr">
        <is>
          <t>150-5370-10H.pdf</t>
        </is>
      </c>
      <c r="C120" s="2" t="n">
        <v>310</v>
      </c>
      <c r="D120" s="2" t="n">
        <v>9</v>
      </c>
      <c r="E120" s="2" t="inlineStr">
        <is>
          <t>50 (300 µm) * No.</t>
        </is>
      </c>
      <c r="F120" s="2" t="inlineStr">
        <is>
          <t>Nē</t>
        </is>
      </c>
      <c r="G120" s="2" t="n"/>
    </row>
    <row r="121">
      <c r="A121" s="2" t="inlineStr">
        <is>
          <t>150-5370-10H-P0310-010</t>
        </is>
      </c>
      <c r="B121" s="2" t="inlineStr">
        <is>
          <t>150-5370-10H.pdf</t>
        </is>
      </c>
      <c r="C121" s="2" t="n">
        <v>310</v>
      </c>
      <c r="D121" s="2" t="n">
        <v>10</v>
      </c>
      <c r="E121" s="2" t="inlineStr">
        <is>
          <t>100 (150 µm) * No.</t>
        </is>
      </c>
      <c r="F121" s="2" t="inlineStr">
        <is>
          <t>Nē</t>
        </is>
      </c>
      <c r="G121" s="2" t="n"/>
    </row>
    <row r="122">
      <c r="A122" s="2" t="inlineStr">
        <is>
          <t>150-5370-10H-P0310-011</t>
        </is>
      </c>
      <c r="B122" s="2" t="inlineStr">
        <is>
          <t>150-5370-10H.pdf</t>
        </is>
      </c>
      <c r="C122" s="2" t="n">
        <v>310</v>
      </c>
      <c r="D122" s="2" t="n">
        <v>11</v>
      </c>
      <c r="E122" s="2" t="inlineStr">
        <is>
          <t>200 (75 µm) * Voids in Mineral Aggregate (VMA)1 *</t>
        </is>
      </c>
      <c r="F122" s="2" t="inlineStr">
        <is>
          <t>Nē</t>
        </is>
      </c>
      <c r="G122" s="2" t="n"/>
    </row>
    <row r="123">
      <c r="A123" s="2" t="inlineStr">
        <is>
          <t>150-5370-10H-P0310-012</t>
        </is>
      </c>
      <c r="B123" s="2" t="inlineStr">
        <is>
          <t>150-5370-10H.pdf</t>
        </is>
      </c>
      <c r="C123" s="2" t="n">
        <v>310</v>
      </c>
      <c r="D123" s="2" t="n">
        <v>12</v>
      </c>
      <c r="E123" s="2" t="inlineStr">
        <is>
          <t>Asphalt Percent: Stone or gravel * Slag * Recommended Minimum Construction Lift Thickness</t>
        </is>
      </c>
      <c r="F123" s="2" t="inlineStr">
        <is>
          <t>Nē</t>
        </is>
      </c>
      <c r="G123" s="2" t="n"/>
    </row>
    <row r="124">
      <c r="A124" s="2" t="inlineStr">
        <is>
          <t>150-5370-10H-P0310-013</t>
        </is>
      </c>
      <c r="B124" s="2" t="inlineStr">
        <is>
          <t>150-5370-10H.pdf</t>
        </is>
      </c>
      <c r="C124" s="2" t="n">
        <v>310</v>
      </c>
      <c r="D124" s="2" t="n">
        <v>13</v>
      </c>
      <c r="E124" s="2" t="inlineStr">
        <is>
          <t>1To achieve minimum VMA during production, the mix design needs to account for material breakdown during production.</t>
        </is>
      </c>
      <c r="F124" s="2" t="inlineStr">
        <is>
          <t>Nē</t>
        </is>
      </c>
      <c r="G124" s="2" t="n"/>
    </row>
    <row r="125">
      <c r="A125" s="2" t="inlineStr">
        <is>
          <t>150-5370-10H-P0310-014</t>
        </is>
      </c>
      <c r="B125" s="2" t="inlineStr">
        <is>
          <t>150-5370-10H.pdf</t>
        </is>
      </c>
      <c r="C125" s="2" t="n">
        <v>310</v>
      </c>
      <c r="D125" s="2" t="n">
        <v>14</v>
      </c>
      <c r="E125" s="2" t="inlineStr">
        <is>
          <t>The aggregate gradations shown are based on aggregates of uniform specific gravity.</t>
        </is>
      </c>
      <c r="F125" s="2" t="inlineStr">
        <is>
          <t>Nē</t>
        </is>
      </c>
      <c r="G125" s="2" t="n"/>
    </row>
    <row r="126">
      <c r="A126" s="2" t="inlineStr">
        <is>
          <t>150-5370-10H-P0310-015</t>
        </is>
      </c>
      <c r="B126" s="2" t="inlineStr">
        <is>
          <t>150-5370-10H.pdf</t>
        </is>
      </c>
      <c r="C126" s="2" t="n">
        <v>310</v>
      </c>
      <c r="D126" s="2" t="n">
        <v>15</v>
      </c>
      <c r="E126" s="2" t="inlineStr">
        <is>
          <t>The percentages passing the various sieves shall be corrected when aggregates of varying specific gravities are used, as indicated in the Asphalt Institute MS-2 Mix Design Manual, 7th Edition.</t>
        </is>
      </c>
      <c r="F126" s="2" t="inlineStr">
        <is>
          <t>Nē</t>
        </is>
      </c>
      <c r="G126" s="2" t="n"/>
    </row>
    <row r="127">
      <c r="A127" s="2" t="inlineStr">
        <is>
          <t>150-5370-10H-P0310-016</t>
        </is>
      </c>
      <c r="B127" s="2" t="inlineStr">
        <is>
          <t>150-5370-10H.pdf</t>
        </is>
      </c>
      <c r="C127" s="2" t="n">
        <v>310</v>
      </c>
      <c r="D127" s="2" t="n">
        <v>16</v>
      </c>
      <c r="E127" s="2" t="inlineStr">
        <is>
          <t>The aggregate gradation shall be specified by the Engineer from the gradations shown in this note.</t>
        </is>
      </c>
      <c r="F127" s="2" t="inlineStr">
        <is>
          <t>Nē</t>
        </is>
      </c>
      <c r="G127" s="2" t="n"/>
    </row>
    <row r="128">
      <c r="A128" s="2" t="inlineStr">
        <is>
          <t>150-5370-10H-P0310-017</t>
        </is>
      </c>
      <c r="B128" s="2" t="inlineStr">
        <is>
          <t>150-5370-10H.pdf</t>
        </is>
      </c>
      <c r="C128" s="2" t="n">
        <v>310</v>
      </c>
      <c r="D128" s="2" t="n">
        <v>17</v>
      </c>
      <c r="E128" s="2" t="inlineStr">
        <is>
          <t>The gradation shall be inserted into Table 2.</t>
        </is>
      </c>
      <c r="F128" s="2" t="inlineStr">
        <is>
          <t>Nē</t>
        </is>
      </c>
      <c r="G128" s="2" t="n"/>
    </row>
    <row r="129">
      <c r="A129" s="2" t="inlineStr">
        <is>
          <t>150-5370-10H-P0310-018</t>
        </is>
      </c>
      <c r="B129" s="2" t="inlineStr">
        <is>
          <t>150-5370-10H.pdf</t>
        </is>
      </c>
      <c r="C129" s="2" t="n">
        <v>310</v>
      </c>
      <c r="D129" s="2" t="n">
        <v>18</v>
      </c>
      <c r="E129" s="2" t="inlineStr">
        <is>
          <t>Asterisks denote insert points.</t>
        </is>
      </c>
      <c r="F129" s="2" t="inlineStr">
        <is>
          <t>Nē</t>
        </is>
      </c>
      <c r="G129" s="2" t="n"/>
    </row>
    <row r="130">
      <c r="A130" s="2" t="inlineStr">
        <is>
          <t>150-5370-10H-P0310-019</t>
        </is>
      </c>
      <c r="B130" s="2" t="inlineStr">
        <is>
          <t>150-5370-10H.pdf</t>
        </is>
      </c>
      <c r="C130" s="2" t="n">
        <v>310</v>
      </c>
      <c r="D130" s="2" t="n">
        <v>19</v>
      </c>
      <c r="E130" s="2" t="inlineStr">
        <is>
          <t>Where locally-available aggregates cannot be economically blended to meet the grading requirements of the gradations shown, the gradations may be modified to fit the characteristics of such local aggregates with approval of the FAA.</t>
        </is>
      </c>
      <c r="F130" s="2" t="inlineStr">
        <is>
          <t>Nē</t>
        </is>
      </c>
      <c r="G130" s="2" t="n"/>
    </row>
    <row r="131">
      <c r="A131" s="2" t="inlineStr">
        <is>
          <t>150-5370-10H-P0310-020</t>
        </is>
      </c>
      <c r="B131" s="2" t="inlineStr">
        <is>
          <t>150-5370-10H.pdf</t>
        </is>
      </c>
      <c r="C131" s="2" t="n">
        <v>310</v>
      </c>
      <c r="D131" s="2" t="n">
        <v>20</v>
      </c>
      <c r="E131" s="2" t="inlineStr">
        <is>
          <t>The modified gradation must produce a paving mixture that satisfies the mix design requirements.</t>
        </is>
      </c>
      <c r="F131" s="2" t="inlineStr">
        <is>
          <t>Nē</t>
        </is>
      </c>
      <c r="G131" s="2" t="n"/>
    </row>
    <row r="132">
      <c r="A132" s="2" t="inlineStr">
        <is>
          <t>150-5370-10H-P0310-021</t>
        </is>
      </c>
      <c r="B132" s="2" t="inlineStr">
        <is>
          <t>150-5370-10H.pdf</t>
        </is>
      </c>
      <c r="C132" s="2" t="n">
        <v>310</v>
      </c>
      <c r="D132" s="2" t="n">
        <v>21</v>
      </c>
      <c r="E132" s="2" t="inlineStr">
        <is>
          <t>Item P-403 Asphalt Mix Pavement [ Base ] [ Leveling ] [ Surface ] Course 302</t>
        </is>
      </c>
      <c r="F132" s="2" t="inlineStr">
        <is>
          <t>Nē</t>
        </is>
      </c>
      <c r="G132" s="2" t="n"/>
    </row>
    <row r="133">
      <c r="A133" s="2" t="inlineStr">
        <is>
          <t>150-5370-10H-P0428-001</t>
        </is>
      </c>
      <c r="B133" s="2" t="inlineStr">
        <is>
          <t>150-5370-10H.pdf</t>
        </is>
      </c>
      <c r="C133" s="2" t="n">
        <v>428</v>
      </c>
      <c r="D133" s="2" t="n">
        <v>1</v>
      </c>
      <c r="E133" s="2" t="inlineStr">
        <is>
          <t>12/21/2018 AC 150/5370-10H</t>
        </is>
      </c>
      <c r="F133" s="2" t="inlineStr">
        <is>
          <t>Nē</t>
        </is>
      </c>
      <c r="G133" s="2" t="n"/>
    </row>
    <row r="134">
      <c r="A134" s="2" t="inlineStr">
        <is>
          <t>150-5370-10H-P0428-002</t>
        </is>
      </c>
      <c r="B134" s="2" t="inlineStr">
        <is>
          <t>150-5370-10H.pdf</t>
        </is>
      </c>
      <c r="C134" s="2" t="n">
        <v>428</v>
      </c>
      <c r="D134" s="2" t="n">
        <v>2</v>
      </c>
      <c r="E134" s="2" t="inlineStr">
        <is>
          <t>ASTM D4791 Standard Test Method for Flat Particles, Elongated Particles, or Flat and Elongated Particles in Coarse Aggregate</t>
        </is>
      </c>
      <c r="F134" s="2" t="inlineStr">
        <is>
          <t>Nē</t>
        </is>
      </c>
      <c r="G134" s="2" t="n"/>
    </row>
    <row r="135">
      <c r="A135" s="2" t="inlineStr">
        <is>
          <t>150-5370-10H-P0428-003</t>
        </is>
      </c>
      <c r="B135" s="2" t="inlineStr">
        <is>
          <t>150-5370-10H.pdf</t>
        </is>
      </c>
      <c r="C135" s="2" t="n">
        <v>428</v>
      </c>
      <c r="D135" s="2" t="n">
        <v>3</v>
      </c>
      <c r="E135" s="2" t="inlineStr">
        <is>
          <t>ASTM D5821 Standard Test Method for Determining the Percentage of Fractured Particles in Coarse Aggregate</t>
        </is>
      </c>
      <c r="F135" s="2" t="inlineStr">
        <is>
          <t>Nē</t>
        </is>
      </c>
      <c r="G135" s="2" t="n"/>
    </row>
    <row r="136">
      <c r="A136" s="2" t="inlineStr">
        <is>
          <t>150-5370-10H-P0428-004</t>
        </is>
      </c>
      <c r="B136" s="2" t="inlineStr">
        <is>
          <t>150-5370-10H.pdf</t>
        </is>
      </c>
      <c r="C136" s="2" t="n">
        <v>428</v>
      </c>
      <c r="D136" s="2" t="n">
        <v>4</v>
      </c>
      <c r="E136" s="2" t="inlineStr">
        <is>
          <t>Asphalt Institute (AI)</t>
        </is>
      </c>
      <c r="F136" s="2" t="inlineStr">
        <is>
          <t>Nē</t>
        </is>
      </c>
      <c r="G136" s="2" t="n"/>
    </row>
    <row r="137">
      <c r="A137" s="2" t="inlineStr">
        <is>
          <t>150-5370-10H-P0428-005</t>
        </is>
      </c>
      <c r="B137" s="2" t="inlineStr">
        <is>
          <t>150-5370-10H.pdf</t>
        </is>
      </c>
      <c r="C137" s="2" t="n">
        <v>428</v>
      </c>
      <c r="D137" s="2" t="n">
        <v>5</v>
      </c>
      <c r="E137" s="2" t="inlineStr">
        <is>
          <t>MS-6 Table IV-3 Asphalt Pocketbook of Useful Information (Temperature-Volume Corrections for Emulsified Asphalts)</t>
        </is>
      </c>
      <c r="F137" s="2" t="inlineStr">
        <is>
          <t>Nē</t>
        </is>
      </c>
      <c r="G137" s="2" t="n"/>
    </row>
    <row r="138">
      <c r="A138" s="2" t="inlineStr">
        <is>
          <t>150-5370-10H-P0428-006</t>
        </is>
      </c>
      <c r="B138" s="2" t="inlineStr">
        <is>
          <t>150-5370-10H.pdf</t>
        </is>
      </c>
      <c r="C138" s="2" t="n">
        <v>428</v>
      </c>
      <c r="D138" s="2" t="n">
        <v>6</v>
      </c>
      <c r="E138" s="2" t="inlineStr">
        <is>
          <t>FAA Orders</t>
        </is>
      </c>
      <c r="F138" s="2" t="inlineStr">
        <is>
          <t>Nē</t>
        </is>
      </c>
      <c r="G138" s="2" t="n"/>
    </row>
    <row r="139">
      <c r="A139" s="2" t="inlineStr">
        <is>
          <t>150-5370-10H-P0428-007</t>
        </is>
      </c>
      <c r="B139" s="2" t="inlineStr">
        <is>
          <t>150-5370-10H.pdf</t>
        </is>
      </c>
      <c r="C139" s="2" t="n">
        <v>428</v>
      </c>
      <c r="D139" s="2" t="n">
        <v>7</v>
      </c>
      <c r="E139" s="2" t="inlineStr">
        <is>
          <t>5300.1 Modifications to Agency Airport Design, Construction, and Equipment Standards</t>
        </is>
      </c>
      <c r="F139" s="2" t="inlineStr">
        <is>
          <t>Nē</t>
        </is>
      </c>
      <c r="G139" s="2" t="n"/>
    </row>
    <row r="140">
      <c r="A140" s="2" t="inlineStr">
        <is>
          <t>150-5370-10H-P0428-008</t>
        </is>
      </c>
      <c r="B140" s="2" t="inlineStr">
        <is>
          <t>150-5370-10H.pdf</t>
        </is>
      </c>
      <c r="C140" s="2" t="n">
        <v>428</v>
      </c>
      <c r="D140" s="2" t="n">
        <v>8</v>
      </c>
      <c r="E140" s="2" t="inlineStr">
        <is>
          <t>END OF ITEM P-609</t>
        </is>
      </c>
      <c r="F140" s="2" t="inlineStr">
        <is>
          <t>Nē</t>
        </is>
      </c>
      <c r="G140" s="2" t="n"/>
    </row>
    <row r="141">
      <c r="A141" s="2" t="inlineStr">
        <is>
          <t>150-5370-10H-P0428-009</t>
        </is>
      </c>
      <c r="B141" s="2" t="inlineStr">
        <is>
          <t>150-5370-10H.pdf</t>
        </is>
      </c>
      <c r="C141" s="2" t="n">
        <v>428</v>
      </c>
      <c r="D141" s="2" t="n">
        <v>9</v>
      </c>
      <c r="E141" s="2" t="inlineStr">
        <is>
          <t>Item P-609 Chip Seal Coat 420</t>
        </is>
      </c>
      <c r="F141" s="2" t="inlineStr">
        <is>
          <t>Nē</t>
        </is>
      </c>
      <c r="G141" s="2" t="n"/>
    </row>
    <row r="142">
      <c r="A142" s="2" t="inlineStr">
        <is>
          <t>150-5370-10H-P0464-001</t>
        </is>
      </c>
      <c r="B142" s="2" t="inlineStr">
        <is>
          <t>150-5370-10H.pdf</t>
        </is>
      </c>
      <c r="C142" s="2" t="n">
        <v>464</v>
      </c>
      <c r="D142" s="2" t="n">
        <v>1</v>
      </c>
      <c r="E142" s="2" t="inlineStr">
        <is>
          <t>12/21/2018 AC 150/5370-10H</t>
        </is>
      </c>
      <c r="F142" s="2" t="inlineStr">
        <is>
          <t>Nē</t>
        </is>
      </c>
      <c r="G142" s="2" t="n"/>
    </row>
    <row r="143">
      <c r="A143" s="2" t="inlineStr">
        <is>
          <t>150-5370-10H-P0464-002</t>
        </is>
      </c>
      <c r="B143" s="2" t="inlineStr">
        <is>
          <t>150-5370-10H.pdf</t>
        </is>
      </c>
      <c r="C143" s="2" t="n">
        <v>464</v>
      </c>
      <c r="D143" s="2" t="n">
        <v>2</v>
      </c>
      <c r="E143" s="2" t="inlineStr">
        <is>
          <t>Code of Federal Regulation (CFR) Title 40 – Protection of Environment.</t>
        </is>
      </c>
      <c r="F143" s="2" t="inlineStr">
        <is>
          <t>Nē</t>
        </is>
      </c>
      <c r="G143" s="2" t="n"/>
    </row>
    <row r="144">
      <c r="A144" s="2" t="inlineStr">
        <is>
          <t>150-5370-10H-P0464-003</t>
        </is>
      </c>
      <c r="B144" s="2" t="inlineStr">
        <is>
          <t>150-5370-10H.pdf</t>
        </is>
      </c>
      <c r="C144" s="2" t="n">
        <v>464</v>
      </c>
      <c r="D144" s="2" t="n">
        <v>3</v>
      </c>
      <c r="E144" s="2" t="inlineStr">
        <is>
          <t>The manufacturer’s certification shall address compliance for Air Programs, Part 59, National Volatile Organic Compound Emission Standards for Consumer and Commercial Products (for the airport location) and Water Programs, Part 116, Designation of Hazardous Substances.</t>
        </is>
      </c>
      <c r="F144" s="2" t="inlineStr">
        <is>
          <t>Jā</t>
        </is>
      </c>
      <c r="G144" s="2" t="n"/>
    </row>
    <row r="145">
      <c r="A145" s="2" t="inlineStr">
        <is>
          <t>150-5370-10H-P0464-004</t>
        </is>
      </c>
      <c r="B145" s="2" t="inlineStr">
        <is>
          <t>150-5370-10H.pdf</t>
        </is>
      </c>
      <c r="C145" s="2" t="n">
        <v>464</v>
      </c>
      <c r="D145" s="2" t="n">
        <v>4</v>
      </c>
      <c r="E145" s="2" t="inlineStr">
        <is>
          <t>630-2.2 Aggregate.</t>
        </is>
      </c>
      <c r="F145" s="2" t="inlineStr">
        <is>
          <t>Nē</t>
        </is>
      </c>
      <c r="G145" s="2" t="n"/>
    </row>
    <row r="146">
      <c r="A146" s="2" t="inlineStr">
        <is>
          <t>150-5370-10H-P0464-005</t>
        </is>
      </c>
      <c r="B146" s="2" t="inlineStr">
        <is>
          <t>150-5370-10H.pdf</t>
        </is>
      </c>
      <c r="C146" s="2" t="n">
        <v>464</v>
      </c>
      <c r="D146" s="2" t="n">
        <v>5</v>
      </c>
      <c r="E146" s="2" t="inlineStr">
        <is>
          <t>The aggregate shall be washed dry silica sand or boiler slag free of dust, trash, clay, organic materials or other deleterious substances.</t>
        </is>
      </c>
      <c r="F146" s="2" t="inlineStr">
        <is>
          <t>Nē</t>
        </is>
      </c>
      <c r="G146" s="2" t="n"/>
    </row>
    <row r="147">
      <c r="A147" s="2" t="inlineStr">
        <is>
          <t>150-5370-10H-P0464-006</t>
        </is>
      </c>
      <c r="B147" s="2" t="inlineStr">
        <is>
          <t>150-5370-10H.pdf</t>
        </is>
      </c>
      <c r="C147" s="2" t="n">
        <v>464</v>
      </c>
      <c r="D147" s="2" t="n">
        <v>6</v>
      </c>
      <c r="E147" s="2" t="inlineStr">
        <is>
          <t>The aggregate shall meet the gradation requirements below when tested in accordance with ASTM C136.</t>
        </is>
      </c>
      <c r="F147" s="2" t="inlineStr">
        <is>
          <t>Nē</t>
        </is>
      </c>
      <c r="G147" s="2" t="n"/>
    </row>
    <row r="148">
      <c r="A148" s="2" t="inlineStr">
        <is>
          <t>150-5370-10H-P0464-007</t>
        </is>
      </c>
      <c r="B148" s="2" t="inlineStr">
        <is>
          <t>150-5370-10H.pdf</t>
        </is>
      </c>
      <c r="C148" s="2" t="n">
        <v>464</v>
      </c>
      <c r="D148" s="2" t="n">
        <v>7</v>
      </c>
      <c r="E148" s="2" t="inlineStr">
        <is>
          <t>The refined coal tar emulsion supplier must give written approval of the aggregate used in the mix design.</t>
        </is>
      </c>
      <c r="F148" s="2" t="inlineStr">
        <is>
          <t>?</t>
        </is>
      </c>
      <c r="G148" s="2" t="n"/>
    </row>
    <row r="149">
      <c r="A149" s="2" t="inlineStr">
        <is>
          <t>150-5370-10H-P0464-008</t>
        </is>
      </c>
      <c r="B149" s="2" t="inlineStr">
        <is>
          <t>150-5370-10H.pdf</t>
        </is>
      </c>
      <c r="C149" s="2" t="n">
        <v>464</v>
      </c>
      <c r="D149" s="2" t="n">
        <v>8</v>
      </c>
      <c r="E149" s="2" t="inlineStr">
        <is>
          <t>Gradation of Aggregates*</t>
        </is>
      </c>
      <c r="F149" s="2" t="inlineStr">
        <is>
          <t>Nē</t>
        </is>
      </c>
      <c r="G149" s="2" t="n"/>
    </row>
    <row r="150">
      <c r="A150" s="2" t="inlineStr">
        <is>
          <t>150-5370-10H-P0464-009</t>
        </is>
      </c>
      <c r="B150" s="2" t="inlineStr">
        <is>
          <t>150-5370-10H.pdf</t>
        </is>
      </c>
      <c r="C150" s="2" t="n">
        <v>464</v>
      </c>
      <c r="D150" s="2" t="n">
        <v>9</v>
      </c>
      <c r="E150" s="2" t="inlineStr">
        <is>
          <t>Percent Retained Sieve Size Minimum Maximum #20 or coarser 850 µm 0 2 #30 600 µm 0 12 #40 425 µm 2 60 #50 300 µm 5 60 #70 212 µm 5 60 #100 150 µm 5 30 #140 106 µm 0 10 #200 75 µm 0 2 Finer than #200 0 0.3 * Table represents the maximum range of aggregate gradations.</t>
        </is>
      </c>
      <c r="F150" s="2" t="inlineStr">
        <is>
          <t>Nē</t>
        </is>
      </c>
      <c r="G150" s="2" t="n"/>
    </row>
    <row r="151">
      <c r="A151" s="2" t="inlineStr">
        <is>
          <t>150-5370-10H-P0464-010</t>
        </is>
      </c>
      <c r="B151" s="2" t="inlineStr">
        <is>
          <t>150-5370-10H.pdf</t>
        </is>
      </c>
      <c r="C151" s="2" t="n">
        <v>464</v>
      </c>
      <c r="D151" s="2" t="n">
        <v>10</v>
      </c>
      <c r="E151" s="2" t="inlineStr">
        <is>
          <t>630-2.3 Water.</t>
        </is>
      </c>
      <c r="F151" s="2" t="inlineStr">
        <is>
          <t>Nē</t>
        </is>
      </c>
      <c r="G151" s="2" t="n"/>
    </row>
    <row r="152">
      <c r="A152" s="2" t="inlineStr">
        <is>
          <t>150-5370-10H-P0464-011</t>
        </is>
      </c>
      <c r="B152" s="2" t="inlineStr">
        <is>
          <t>150-5370-10H.pdf</t>
        </is>
      </c>
      <c r="C152" s="2" t="n">
        <v>464</v>
      </c>
      <c r="D152" s="2" t="n">
        <v>11</v>
      </c>
      <c r="E152" s="2" t="inlineStr">
        <is>
          <t>Water used in mixing or curing shall be from potable water sources and at least 50ºF (10ºC).</t>
        </is>
      </c>
      <c r="F152" s="2" t="inlineStr">
        <is>
          <t>Nē</t>
        </is>
      </c>
      <c r="G152" s="2" t="n"/>
    </row>
    <row r="153">
      <c r="A153" s="2" t="inlineStr">
        <is>
          <t>150-5370-10H-P0464-012</t>
        </is>
      </c>
      <c r="B153" s="2" t="inlineStr">
        <is>
          <t>150-5370-10H.pdf</t>
        </is>
      </c>
      <c r="C153" s="2" t="n">
        <v>464</v>
      </c>
      <c r="D153" s="2" t="n">
        <v>12</v>
      </c>
      <c r="E153" s="2" t="inlineStr">
        <is>
          <t>Other sources shall be tested in accordance with ASTM C1602 prior to use.</t>
        </is>
      </c>
      <c r="F153" s="2" t="inlineStr">
        <is>
          <t>Nē</t>
        </is>
      </c>
      <c r="G153" s="2" t="n"/>
    </row>
    <row r="154">
      <c r="A154" s="2" t="inlineStr">
        <is>
          <t>150-5370-10H-P0464-013</t>
        </is>
      </c>
      <c r="B154" s="2" t="inlineStr">
        <is>
          <t>150-5370-10H.pdf</t>
        </is>
      </c>
      <c r="C154" s="2" t="n">
        <v>464</v>
      </c>
      <c r="D154" s="2" t="n">
        <v>13</v>
      </c>
      <c r="E154" s="2" t="inlineStr">
        <is>
          <t>The pH of the water shall conform to the requirements of the coal tar emulsion manufacturer.</t>
        </is>
      </c>
      <c r="F154" s="2" t="inlineStr">
        <is>
          <t>Nē</t>
        </is>
      </c>
      <c r="G154" s="2" t="n"/>
    </row>
    <row r="155">
      <c r="A155" s="2" t="inlineStr">
        <is>
          <t>150-5370-10H-P0464-014</t>
        </is>
      </c>
      <c r="B155" s="2" t="inlineStr">
        <is>
          <t>150-5370-10H.pdf</t>
        </is>
      </c>
      <c r="C155" s="2" t="n">
        <v>464</v>
      </c>
      <c r="D155" s="2" t="n">
        <v>14</v>
      </c>
      <c r="E155" s="2" t="inlineStr">
        <is>
          <t>630-2.4 Crack sealant.</t>
        </is>
      </c>
      <c r="F155" s="2" t="inlineStr">
        <is>
          <t>Nē</t>
        </is>
      </c>
      <c r="G155" s="2" t="n"/>
    </row>
    <row r="156">
      <c r="A156" s="2" t="inlineStr">
        <is>
          <t>150-5370-10H-P0464-015</t>
        </is>
      </c>
      <c r="B156" s="2" t="inlineStr">
        <is>
          <t>150-5370-10H.pdf</t>
        </is>
      </c>
      <c r="C156" s="2" t="n">
        <v>464</v>
      </c>
      <c r="D156" s="2" t="n">
        <v>15</v>
      </c>
      <c r="E156" s="2" t="inlineStr">
        <is>
          <t>Crack sealant shall be certified for compatibility with the refined coal tar emulsion by the manufacturer of the refined coal tar emulsion, and approved by the RPR.</t>
        </is>
      </c>
      <c r="F156" s="2" t="inlineStr">
        <is>
          <t>?</t>
        </is>
      </c>
      <c r="G156" s="2" t="n"/>
    </row>
    <row r="157">
      <c r="A157" s="2" t="inlineStr">
        <is>
          <t>150-5370-10H-P0464-016</t>
        </is>
      </c>
      <c r="B157" s="2" t="inlineStr">
        <is>
          <t>150-5370-10H.pdf</t>
        </is>
      </c>
      <c r="C157" s="2" t="n">
        <v>464</v>
      </c>
      <c r="D157" s="2" t="n">
        <v>16</v>
      </c>
      <c r="E157" s="2" t="inlineStr">
        <is>
          <t>630-2.5 Oil spot primer.</t>
        </is>
      </c>
      <c r="F157" s="2" t="inlineStr">
        <is>
          <t>Nē</t>
        </is>
      </c>
      <c r="G157" s="2" t="n"/>
    </row>
    <row r="158">
      <c r="A158" s="2" t="inlineStr">
        <is>
          <t>150-5370-10H-P0464-017</t>
        </is>
      </c>
      <c r="B158" s="2" t="inlineStr">
        <is>
          <t>150-5370-10H.pdf</t>
        </is>
      </c>
      <c r="C158" s="2" t="n">
        <v>464</v>
      </c>
      <c r="D158" s="2" t="n">
        <v>17</v>
      </c>
      <c r="E158" s="2" t="inlineStr">
        <is>
          <t>Oil spot primer shall be certified for compatibility with the refined coal tar emulsion by the manufacturer of the refined coal tar emulsion, and approved by the RPR.</t>
        </is>
      </c>
      <c r="F158" s="2" t="inlineStr">
        <is>
          <t>?</t>
        </is>
      </c>
      <c r="G158" s="2" t="n"/>
    </row>
    <row r="159">
      <c r="A159" s="2" t="inlineStr">
        <is>
          <t>150-5370-10H-P0464-018</t>
        </is>
      </c>
      <c r="B159" s="2" t="inlineStr">
        <is>
          <t>150-5370-10H.pdf</t>
        </is>
      </c>
      <c r="C159" s="2" t="n">
        <v>464</v>
      </c>
      <c r="D159" s="2" t="n">
        <v>18</v>
      </c>
      <c r="E159" s="2" t="inlineStr">
        <is>
          <t>630-2.6 Pavement primer.</t>
        </is>
      </c>
      <c r="F159" s="2" t="inlineStr">
        <is>
          <t>Nē</t>
        </is>
      </c>
      <c r="G159" s="2" t="n"/>
    </row>
    <row r="160">
      <c r="A160" s="2" t="inlineStr">
        <is>
          <t>150-5370-10H-P0464-019</t>
        </is>
      </c>
      <c r="B160" s="2" t="inlineStr">
        <is>
          <t>150-5370-10H.pdf</t>
        </is>
      </c>
      <c r="C160" s="2" t="n">
        <v>464</v>
      </c>
      <c r="D160" s="2" t="n">
        <v>19</v>
      </c>
      <c r="E160" s="2" t="inlineStr">
        <is>
          <t>Pavement primer shall be certified for compatibility with the refined coal tar emulsion by the manufacturer of the refined coal tar emulsion, and approved by the RPR.</t>
        </is>
      </c>
      <c r="F160" s="2" t="inlineStr">
        <is>
          <t>?</t>
        </is>
      </c>
      <c r="G160" s="2" t="n"/>
    </row>
    <row r="161">
      <c r="A161" s="2" t="inlineStr">
        <is>
          <t>150-5370-10H-P0464-020</t>
        </is>
      </c>
      <c r="B161" s="2" t="inlineStr">
        <is>
          <t>150-5370-10H.pdf</t>
        </is>
      </c>
      <c r="C161" s="2" t="n">
        <v>464</v>
      </c>
      <c r="D161" s="2" t="n">
        <v>20</v>
      </c>
      <c r="E161" s="2" t="inlineStr">
        <is>
          <t>COMPOSITION AND APPLICATION</t>
        </is>
      </c>
      <c r="F161" s="2" t="inlineStr">
        <is>
          <t>Nē</t>
        </is>
      </c>
      <c r="G161" s="2" t="n"/>
    </row>
    <row r="162">
      <c r="A162" s="2" t="inlineStr">
        <is>
          <t>150-5370-10H-P0464-021</t>
        </is>
      </c>
      <c r="B162" s="2" t="inlineStr">
        <is>
          <t>150-5370-10H.pdf</t>
        </is>
      </c>
      <c r="C162" s="2" t="n">
        <v>464</v>
      </c>
      <c r="D162" s="2" t="n">
        <v>21</v>
      </c>
      <c r="E162" s="2" t="inlineStr">
        <is>
          <t>630-3.1 Composition.</t>
        </is>
      </c>
      <c r="F162" s="2" t="inlineStr">
        <is>
          <t>Nē</t>
        </is>
      </c>
      <c r="G162" s="2" t="n"/>
    </row>
    <row r="163">
      <c r="A163" s="2" t="inlineStr">
        <is>
          <t>150-5370-10H-P0464-022</t>
        </is>
      </c>
      <c r="B163" s="2" t="inlineStr">
        <is>
          <t>150-5370-10H.pdf</t>
        </is>
      </c>
      <c r="C163" s="2" t="n">
        <v>464</v>
      </c>
      <c r="D163" s="2" t="n">
        <v>22</v>
      </c>
      <c r="E163" s="2" t="inlineStr">
        <is>
          <t>The refined coal tar emulsion seal coat is to consist of a mixture of refined coal tar emulsion, water and aggregate, and be proportioned as shown in the table below titled “Composition of Mixture Per 100 Gallons (379 Liters) of Refined Coal Tar Emulsion.” The composition must have written approval of the coal tar emulsion manufacturer.</t>
        </is>
      </c>
      <c r="F163" s="2" t="inlineStr">
        <is>
          <t>Nē</t>
        </is>
      </c>
      <c r="G163" s="2" t="n"/>
    </row>
    <row r="164">
      <c r="A164" s="2" t="inlineStr">
        <is>
          <t>150-5370-10H-P0464-023</t>
        </is>
      </c>
      <c r="B164" s="2" t="inlineStr">
        <is>
          <t>150-5370-10H.pdf</t>
        </is>
      </c>
      <c r="C164" s="2" t="n">
        <v>464</v>
      </c>
      <c r="D164" s="2" t="n">
        <v>23</v>
      </c>
      <c r="E164" s="2" t="inlineStr">
        <is>
          <t>630-3.2 Quantities of materials per square yard (square meter).</t>
        </is>
      </c>
      <c r="F164" s="2" t="inlineStr">
        <is>
          <t>Nē</t>
        </is>
      </c>
      <c r="G164" s="2" t="n"/>
    </row>
    <row r="165">
      <c r="A165" s="2" t="inlineStr">
        <is>
          <t>150-5370-10H-P0464-024</t>
        </is>
      </c>
      <c r="B165" s="2" t="inlineStr">
        <is>
          <t>150-5370-10H.pdf</t>
        </is>
      </c>
      <c r="C165" s="2" t="n">
        <v>464</v>
      </c>
      <c r="D165" s="2" t="n">
        <v>24</v>
      </c>
      <c r="E165" s="2" t="inlineStr">
        <is>
          <t>The Contractor shall submit the recommended formulation of water, emulsion, aggregate and application rate proposed for use to a testing laboratory together with sufficient materials to verify the formulation at least [ ] days prior to the start of operations.</t>
        </is>
      </c>
      <c r="F165" s="2" t="inlineStr">
        <is>
          <t>Nē</t>
        </is>
      </c>
      <c r="G165" s="2" t="n"/>
    </row>
    <row r="166">
      <c r="A166" s="2" t="inlineStr">
        <is>
          <t>150-5370-10H-P0464-025</t>
        </is>
      </c>
      <c r="B166" s="2" t="inlineStr">
        <is>
          <t>150-5370-10H.pdf</t>
        </is>
      </c>
      <c r="C166" s="2" t="n">
        <v>464</v>
      </c>
      <c r="D166" s="2" t="n">
        <v>25</v>
      </c>
      <c r="E166" s="2" t="inlineStr">
        <is>
          <t>The mix design shall be within the range shown in the table below.</t>
        </is>
      </c>
      <c r="F166" s="2" t="inlineStr">
        <is>
          <t>Nē</t>
        </is>
      </c>
      <c r="G166" s="2" t="n"/>
    </row>
    <row r="167">
      <c r="A167" s="2" t="inlineStr">
        <is>
          <t>150-5370-10H-P0464-026</t>
        </is>
      </c>
      <c r="B167" s="2" t="inlineStr">
        <is>
          <t>150-5370-10H.pdf</t>
        </is>
      </c>
      <c r="C167" s="2" t="n">
        <v>464</v>
      </c>
      <c r="D167" s="2" t="n">
        <v>26</v>
      </c>
      <c r="E167" s="2" t="inlineStr">
        <is>
          <t>No seal coat shall be</t>
        </is>
      </c>
      <c r="F167" s="2" t="inlineStr">
        <is>
          <t>Nē</t>
        </is>
      </c>
      <c r="G167" s="2" t="n"/>
    </row>
    <row r="168">
      <c r="A168" s="2" t="inlineStr">
        <is>
          <t>150-5370-10H-P0464-027</t>
        </is>
      </c>
      <c r="B168" s="2" t="inlineStr">
        <is>
          <t>150-5370-10H.pdf</t>
        </is>
      </c>
      <c r="C168" s="2" t="n">
        <v>464</v>
      </c>
      <c r="D168" s="2" t="n">
        <v>27</v>
      </c>
      <c r="E168" s="2" t="inlineStr">
        <is>
          <t>Item P-630 Refined Coal Tar Emulsion Without Additives, Slurry Seal Surface Treatment 456</t>
        </is>
      </c>
      <c r="F168" s="2" t="inlineStr">
        <is>
          <t>Nē</t>
        </is>
      </c>
      <c r="G168" s="2" t="n"/>
    </row>
    <row r="169">
      <c r="A169" s="2" t="inlineStr">
        <is>
          <t>150-5370-10H-P0540-001</t>
        </is>
      </c>
      <c r="B169" s="2" t="inlineStr">
        <is>
          <t>150-5370-10H.pdf</t>
        </is>
      </c>
      <c r="C169" s="2" t="n">
        <v>540</v>
      </c>
      <c r="D169" s="2" t="n">
        <v>1</v>
      </c>
      <c r="E169" s="2" t="inlineStr">
        <is>
          <t>12/21/2018 AC 150/5370-10H</t>
        </is>
      </c>
      <c r="F169" s="2" t="inlineStr">
        <is>
          <t>Nē</t>
        </is>
      </c>
      <c r="G169" s="2" t="n"/>
    </row>
    <row r="170">
      <c r="A170" s="2" t="inlineStr">
        <is>
          <t>150-5370-10H-P0540-002</t>
        </is>
      </c>
      <c r="B170" s="2" t="inlineStr">
        <is>
          <t>150-5370-10H.pdf</t>
        </is>
      </c>
      <c r="C170" s="2" t="n">
        <v>540</v>
      </c>
      <c r="D170" s="2" t="n">
        <v>2</v>
      </c>
      <c r="E170" s="2" t="inlineStr">
        <is>
          <t>Glass beads improve conspicuity and the friction characteristics of markings.</t>
        </is>
      </c>
      <c r="F170" s="2" t="inlineStr">
        <is>
          <t>Nē</t>
        </is>
      </c>
      <c r="G170" s="2" t="n"/>
    </row>
    <row r="171">
      <c r="A171" s="2" t="inlineStr">
        <is>
          <t>150-5370-10H-P0540-003</t>
        </is>
      </c>
      <c r="B171" s="2" t="inlineStr">
        <is>
          <t>150-5370-10H.pdf</t>
        </is>
      </c>
      <c r="C171" s="2" t="n">
        <v>540</v>
      </c>
      <c r="D171" s="2" t="n">
        <v>3</v>
      </c>
      <c r="E171" s="2" t="inlineStr">
        <is>
          <t>At a minimum, the Engineer shall indicate the locations to receive glass beads per AC 150/5340-1, Standards for Airport Markings.</t>
        </is>
      </c>
      <c r="F171" s="2" t="inlineStr">
        <is>
          <t>Nē</t>
        </is>
      </c>
      <c r="G171" s="2" t="n"/>
    </row>
    <row r="172">
      <c r="A172" s="2" t="inlineStr">
        <is>
          <t>150-5370-10H-P0540-004</t>
        </is>
      </c>
      <c r="B172" s="2" t="inlineStr">
        <is>
          <t>150-5370-10H.pdf</t>
        </is>
      </c>
      <c r="C172" s="2" t="n">
        <v>540</v>
      </c>
      <c r="D172" s="2" t="n">
        <v>4</v>
      </c>
      <c r="E172" s="2" t="inlineStr">
        <is>
          <t>620-3.5 Application.</t>
        </is>
      </c>
      <c r="F172" s="2" t="inlineStr">
        <is>
          <t>Nē</t>
        </is>
      </c>
      <c r="G172" s="2" t="n"/>
    </row>
    <row r="173">
      <c r="A173" s="2" t="inlineStr">
        <is>
          <t>150-5370-10H-P0540-005</t>
        </is>
      </c>
      <c r="B173" s="2" t="inlineStr">
        <is>
          <t>150-5370-10H.pdf</t>
        </is>
      </c>
      <c r="C173" s="2" t="n">
        <v>540</v>
      </c>
      <c r="D173" s="2" t="n">
        <v>5</v>
      </c>
      <c r="E173" s="2" t="inlineStr">
        <is>
          <t>A period of [ ] days shall elapse between placement of surface course or seal coat and application of the permanent paint markings.</t>
        </is>
      </c>
      <c r="F173" s="2" t="inlineStr">
        <is>
          <t>Nē</t>
        </is>
      </c>
      <c r="G173" s="2" t="n"/>
    </row>
    <row r="174">
      <c r="A174" s="2" t="inlineStr">
        <is>
          <t>150-5370-10H-P0540-006</t>
        </is>
      </c>
      <c r="B174" s="2" t="inlineStr">
        <is>
          <t>150-5370-10H.pdf</t>
        </is>
      </c>
      <c r="C174" s="2" t="n">
        <v>540</v>
      </c>
      <c r="D174" s="2" t="n">
        <v>6</v>
      </c>
      <c r="E174" s="2" t="inlineStr">
        <is>
          <t>Paint shall be applied at the locations and to the dimensions and spacing shown on the plans.</t>
        </is>
      </c>
      <c r="F174" s="2" t="inlineStr">
        <is>
          <t>Nē</t>
        </is>
      </c>
      <c r="G174" s="2" t="n"/>
    </row>
    <row r="175">
      <c r="A175" s="2" t="inlineStr">
        <is>
          <t>150-5370-10H-P0540-007</t>
        </is>
      </c>
      <c r="B175" s="2" t="inlineStr">
        <is>
          <t>150-5370-10H.pdf</t>
        </is>
      </c>
      <c r="C175" s="2" t="n">
        <v>540</v>
      </c>
      <c r="D175" s="2" t="n">
        <v>7</v>
      </c>
      <c r="E175" s="2" t="inlineStr">
        <is>
          <t>Paint shall not be applied until the layout and condition of the surface has been approved by the RPR.</t>
        </is>
      </c>
      <c r="F175" s="2" t="inlineStr">
        <is>
          <t>Nē</t>
        </is>
      </c>
      <c r="G175" s="2" t="n"/>
    </row>
    <row r="176">
      <c r="A176" s="2" t="inlineStr">
        <is>
          <t>150-5370-10H-P0540-008</t>
        </is>
      </c>
      <c r="B176" s="2" t="inlineStr">
        <is>
          <t>150-5370-10H.pdf</t>
        </is>
      </c>
      <c r="C176" s="2" t="n">
        <v>540</v>
      </c>
      <c r="D176" s="2" t="n">
        <v>8</v>
      </c>
      <c r="E176" s="2" t="inlineStr">
        <is>
          <t>Select timeframe between placement of surface course or seal coat and application of the paint based on type of surface course or seal coat in the project and environment at the project location.</t>
        </is>
      </c>
      <c r="F176" s="2" t="inlineStr">
        <is>
          <t>Nē</t>
        </is>
      </c>
      <c r="G176" s="2" t="n"/>
    </row>
    <row r="177">
      <c r="A177" s="2" t="inlineStr">
        <is>
          <t>150-5370-10H-P0540-009</t>
        </is>
      </c>
      <c r="B177" s="2" t="inlineStr">
        <is>
          <t>150-5370-10H.pdf</t>
        </is>
      </c>
      <c r="C177" s="2" t="n">
        <v>540</v>
      </c>
      <c r="D177" s="2" t="n">
        <v>9</v>
      </c>
      <c r="E177" s="2" t="inlineStr">
        <is>
          <t>The typical timeframe is 30-days for volatiles and moisture vapor to dissipate.</t>
        </is>
      </c>
      <c r="F177" s="2" t="inlineStr">
        <is>
          <t>Nē</t>
        </is>
      </c>
      <c r="G177" s="2" t="n"/>
    </row>
    <row r="178">
      <c r="A178" s="2" t="inlineStr">
        <is>
          <t>150-5370-10H-P0540-010</t>
        </is>
      </c>
      <c r="B178" s="2" t="inlineStr">
        <is>
          <t>150-5370-10H.pdf</t>
        </is>
      </c>
      <c r="C178" s="2" t="n">
        <v>540</v>
      </c>
      <c r="D178" s="2" t="n">
        <v>10</v>
      </c>
      <c r="E178" s="2" t="inlineStr">
        <is>
          <t>The edges of the markings shall not vary from a straight line more than 1/2 inch (12 mm) in 50 feet (15 m), and marking dimensions and spacing shall be within the following tolerances:</t>
        </is>
      </c>
      <c r="F178" s="2" t="inlineStr">
        <is>
          <t>Nē</t>
        </is>
      </c>
      <c r="G178" s="2" t="n"/>
    </row>
    <row r="179">
      <c r="A179" s="2" t="inlineStr">
        <is>
          <t>150-5370-10H-P0540-011</t>
        </is>
      </c>
      <c r="B179" s="2" t="inlineStr">
        <is>
          <t>150-5370-10H.pdf</t>
        </is>
      </c>
      <c r="C179" s="2" t="n">
        <v>540</v>
      </c>
      <c r="D179" s="2" t="n">
        <v>11</v>
      </c>
      <c r="E179" s="2" t="inlineStr">
        <is>
          <t>Marking Dimensions and Spacing Tolerance</t>
        </is>
      </c>
      <c r="F179" s="2" t="inlineStr">
        <is>
          <t>Nē</t>
        </is>
      </c>
      <c r="G179" s="2" t="n"/>
    </row>
    <row r="180">
      <c r="A180" s="2" t="inlineStr">
        <is>
          <t>150-5370-10H-P0540-012</t>
        </is>
      </c>
      <c r="B180" s="2" t="inlineStr">
        <is>
          <t>150-5370-10H.pdf</t>
        </is>
      </c>
      <c r="C180" s="2" t="n">
        <v>540</v>
      </c>
      <c r="D180" s="2" t="n">
        <v>12</v>
      </c>
      <c r="E180" s="2" t="inlineStr">
        <is>
          <t>Dimension and Spacing Tolerance</t>
        </is>
      </c>
      <c r="F180" s="2" t="inlineStr">
        <is>
          <t>Nē</t>
        </is>
      </c>
      <c r="G180" s="2" t="n"/>
    </row>
    <row r="181">
      <c r="A181" s="2" t="inlineStr">
        <is>
          <t>150-5370-10H-P0540-013</t>
        </is>
      </c>
      <c r="B181" s="2" t="inlineStr">
        <is>
          <t>150-5370-10H.pdf</t>
        </is>
      </c>
      <c r="C181" s="2" t="n">
        <v>540</v>
      </c>
      <c r="D181" s="2" t="n">
        <v>13</v>
      </c>
      <c r="E181" s="2" t="inlineStr">
        <is>
          <t>36 inch (910 mm) or less ±1/2 inch (12 mm) greater than 36 inch to 6 feet (910 mm to 1.85 m) ±1 inch (25 mm) greater than 6 feet to 60 feet (1.85 m to 18.3 m) ±2 inch (50 mm) greater than 60 feet (18.3 m) ±3 inch (76 mm)</t>
        </is>
      </c>
      <c r="F181" s="2" t="inlineStr">
        <is>
          <t>Nē</t>
        </is>
      </c>
      <c r="G181" s="2" t="n"/>
    </row>
    <row r="182">
      <c r="A182" s="2" t="inlineStr">
        <is>
          <t>150-5370-10H-P0540-014</t>
        </is>
      </c>
      <c r="B182" s="2" t="inlineStr">
        <is>
          <t>150-5370-10H.pdf</t>
        </is>
      </c>
      <c r="C182" s="2" t="n">
        <v>540</v>
      </c>
      <c r="D182" s="2" t="n">
        <v>14</v>
      </c>
      <c r="E182" s="2" t="inlineStr">
        <is>
          <t>The paint shall be mixed in accordance with the manufacturer’s instructions and applied to the pavement with a marking machine at the rate shown in Table 1.</t>
        </is>
      </c>
      <c r="F182" s="2" t="inlineStr">
        <is>
          <t>Nē</t>
        </is>
      </c>
      <c r="G182" s="2" t="n"/>
    </row>
    <row r="183">
      <c r="A183" s="2" t="inlineStr">
        <is>
          <t>150-5370-10H-P0540-015</t>
        </is>
      </c>
      <c r="B183" s="2" t="inlineStr">
        <is>
          <t>150-5370-10H.pdf</t>
        </is>
      </c>
      <c r="C183" s="2" t="n">
        <v>540</v>
      </c>
      <c r="D183" s="2" t="n">
        <v>15</v>
      </c>
      <c r="E183" s="2" t="inlineStr">
        <is>
          <t>The addition of thinner will not be permitted.</t>
        </is>
      </c>
      <c r="F183" s="2" t="inlineStr">
        <is>
          <t>Nē</t>
        </is>
      </c>
      <c r="G183" s="2" t="n"/>
    </row>
    <row r="184">
      <c r="A184" s="2" t="inlineStr">
        <is>
          <t>150-5370-10H-P0540-016</t>
        </is>
      </c>
      <c r="B184" s="2" t="inlineStr">
        <is>
          <t>150-5370-10H.pdf</t>
        </is>
      </c>
      <c r="C184" s="2" t="n">
        <v>540</v>
      </c>
      <c r="D184" s="2" t="n">
        <v>16</v>
      </c>
      <c r="E184" s="2" t="inlineStr">
        <is>
          <t>Glass beads shall be distributed upon the marked areas at the locations shown on the plans to receive glass beads immediately after application of the paint.</t>
        </is>
      </c>
      <c r="F184" s="2" t="inlineStr">
        <is>
          <t>Nē</t>
        </is>
      </c>
      <c r="G184" s="2" t="n"/>
    </row>
    <row r="185">
      <c r="A185" s="2" t="inlineStr">
        <is>
          <t>150-5370-10H-P0540-017</t>
        </is>
      </c>
      <c r="B185" s="2" t="inlineStr">
        <is>
          <t>150-5370-10H.pdf</t>
        </is>
      </c>
      <c r="C185" s="2" t="n">
        <v>540</v>
      </c>
      <c r="D185" s="2" t="n">
        <v>17</v>
      </c>
      <c r="E185" s="2" t="inlineStr">
        <is>
          <t>A dispenser shall be furnished that is properly designed for attachment to the marking machine and suitable for dispensing glass beads.</t>
        </is>
      </c>
      <c r="F185" s="2" t="inlineStr">
        <is>
          <t>Nē</t>
        </is>
      </c>
      <c r="G185" s="2" t="n"/>
    </row>
    <row r="186">
      <c r="A186" s="2" t="inlineStr">
        <is>
          <t>150-5370-10H-P0540-018</t>
        </is>
      </c>
      <c r="B186" s="2" t="inlineStr">
        <is>
          <t>150-5370-10H.pdf</t>
        </is>
      </c>
      <c r="C186" s="2" t="n">
        <v>540</v>
      </c>
      <c r="D186" s="2" t="n">
        <v>18</v>
      </c>
      <c r="E186" s="2" t="inlineStr">
        <is>
          <t>Glass beads shall be applied at the rate shown in Table 1.</t>
        </is>
      </c>
      <c r="F186" s="2" t="inlineStr">
        <is>
          <t>Nē</t>
        </is>
      </c>
      <c r="G186" s="2" t="n"/>
    </row>
    <row r="187">
      <c r="A187" s="2" t="inlineStr">
        <is>
          <t>150-5370-10H-P0540-019</t>
        </is>
      </c>
      <c r="B187" s="2" t="inlineStr">
        <is>
          <t>150-5370-10H.pdf</t>
        </is>
      </c>
      <c r="C187" s="2" t="n">
        <v>540</v>
      </c>
      <c r="D187" s="2" t="n">
        <v>19</v>
      </c>
      <c r="E187" s="2" t="inlineStr">
        <is>
          <t>Glass beads shall not be applied to black paint or green paint.</t>
        </is>
      </c>
      <c r="F187" s="2" t="inlineStr">
        <is>
          <t>Nē</t>
        </is>
      </c>
      <c r="G187" s="2" t="n"/>
    </row>
    <row r="188">
      <c r="A188" s="2" t="inlineStr">
        <is>
          <t>150-5370-10H-P0540-020</t>
        </is>
      </c>
      <c r="B188" s="2" t="inlineStr">
        <is>
          <t>150-5370-10H.pdf</t>
        </is>
      </c>
      <c r="C188" s="2" t="n">
        <v>540</v>
      </c>
      <c r="D188" s="2" t="n">
        <v>20</v>
      </c>
      <c r="E188" s="2" t="inlineStr">
        <is>
          <t>Glass beads shall adhere to the cured paint or all marking operations shall cease until corrections are made.</t>
        </is>
      </c>
      <c r="F188" s="2" t="inlineStr">
        <is>
          <t>Nē</t>
        </is>
      </c>
      <c r="G188" s="2" t="n"/>
    </row>
    <row r="189">
      <c r="A189" s="2" t="inlineStr">
        <is>
          <t>150-5370-10H-P0540-021</t>
        </is>
      </c>
      <c r="B189" s="2" t="inlineStr">
        <is>
          <t>150-5370-10H.pdf</t>
        </is>
      </c>
      <c r="C189" s="2" t="n">
        <v>540</v>
      </c>
      <c r="D189" s="2" t="n">
        <v>21</v>
      </c>
      <c r="E189" s="2" t="inlineStr">
        <is>
          <t>Different bead types shall not be mixed.</t>
        </is>
      </c>
      <c r="F189" s="2" t="inlineStr">
        <is>
          <t>Nē</t>
        </is>
      </c>
      <c r="G189" s="2" t="n"/>
    </row>
    <row r="190">
      <c r="A190" s="2" t="inlineStr">
        <is>
          <t>150-5370-10H-P0540-022</t>
        </is>
      </c>
      <c r="B190" s="2" t="inlineStr">
        <is>
          <t>150-5370-10H.pdf</t>
        </is>
      </c>
      <c r="C190" s="2" t="n">
        <v>540</v>
      </c>
      <c r="D190" s="2" t="n">
        <v>22</v>
      </c>
      <c r="E190" s="2" t="inlineStr">
        <is>
          <t>Regular monitoring of glass bead embedment and distribution should be performed.</t>
        </is>
      </c>
      <c r="F190" s="2" t="inlineStr">
        <is>
          <t>Nē</t>
        </is>
      </c>
      <c r="G190" s="2" t="n"/>
    </row>
    <row r="191">
      <c r="A191" s="2" t="inlineStr">
        <is>
          <t>150-5370-10H-P0540-023</t>
        </is>
      </c>
      <c r="B191" s="2" t="inlineStr">
        <is>
          <t>150-5370-10H.pdf</t>
        </is>
      </c>
      <c r="C191" s="2" t="n">
        <v>540</v>
      </c>
      <c r="D191" s="2" t="n">
        <v>23</v>
      </c>
      <c r="E191" s="2" t="inlineStr">
        <is>
          <t>620-3.6 Application--preformed thermoplastic airport pavement markings.</t>
        </is>
      </c>
      <c r="F191" s="2" t="inlineStr">
        <is>
          <t>Nē</t>
        </is>
      </c>
      <c r="G191" s="2" t="n"/>
    </row>
    <row r="192">
      <c r="A192" s="2" t="inlineStr">
        <is>
          <t>150-5370-10H-P0540-024</t>
        </is>
      </c>
      <c r="B192" s="2" t="inlineStr">
        <is>
          <t>150-5370-10H.pdf</t>
        </is>
      </c>
      <c r="C192" s="2" t="n">
        <v>540</v>
      </c>
      <c r="D192" s="2" t="n">
        <v>24</v>
      </c>
      <c r="E192" s="2" t="inlineStr">
        <is>
          <t>[ Preformed thermoplastic pavement markings not used. ]</t>
        </is>
      </c>
      <c r="F192" s="2" t="inlineStr">
        <is>
          <t>Nē</t>
        </is>
      </c>
      <c r="G192" s="2" t="n"/>
    </row>
    <row r="193">
      <c r="A193" s="2" t="inlineStr">
        <is>
          <t>150-5370-10H-P0540-025</t>
        </is>
      </c>
      <c r="B193" s="2" t="inlineStr">
        <is>
          <t>150-5370-10H.pdf</t>
        </is>
      </c>
      <c r="C193" s="2" t="n">
        <v>540</v>
      </c>
      <c r="D193" s="2" t="n">
        <v>25</v>
      </c>
      <c r="E193" s="2" t="inlineStr">
        <is>
          <t>[ To ensure minimum single-pass application time and optimum bond in the marking/substrate interface, the materials must be applied using a variable speed self-propelled mobile heater with an effective heating width of no less than 16 feet (5 m) and a free span between supporting wheels of no less than 18 feet (5.5 m).</t>
        </is>
      </c>
      <c r="F193" s="2" t="inlineStr">
        <is>
          <t>Nē</t>
        </is>
      </c>
      <c r="G193" s="2" t="n"/>
    </row>
    <row r="194">
      <c r="A194" s="2" t="inlineStr">
        <is>
          <t>150-5370-10H-P0540-026</t>
        </is>
      </c>
      <c r="B194" s="2" t="inlineStr">
        <is>
          <t>150-5370-10H.pdf</t>
        </is>
      </c>
      <c r="C194" s="2" t="n">
        <v>540</v>
      </c>
      <c r="D194" s="2" t="n">
        <v>26</v>
      </c>
      <c r="E194" s="2" t="inlineStr">
        <is>
          <t>The heater must emit thermal</t>
        </is>
      </c>
      <c r="F194" s="2" t="inlineStr">
        <is>
          <t>Nē</t>
        </is>
      </c>
      <c r="G194" s="2" t="n"/>
    </row>
    <row r="195">
      <c r="A195" s="2" t="inlineStr">
        <is>
          <t>150-5370-10H-P0540-027</t>
        </is>
      </c>
      <c r="B195" s="2" t="inlineStr">
        <is>
          <t>150-5370-10H.pdf</t>
        </is>
      </c>
      <c r="C195" s="2" t="n">
        <v>540</v>
      </c>
      <c r="D195" s="2" t="n">
        <v>27</v>
      </c>
      <c r="E195" s="2" t="inlineStr">
        <is>
          <t>Item P-620 Runway and Taxiway Marking 532</t>
        </is>
      </c>
      <c r="F195" s="2" t="inlineStr">
        <is>
          <t>Nē</t>
        </is>
      </c>
      <c r="G195" s="2" t="n"/>
    </row>
    <row r="196">
      <c r="A196" s="2" t="inlineStr">
        <is>
          <t>150-5370-10H-P0551-001</t>
        </is>
      </c>
      <c r="B196" s="2" t="inlineStr">
        <is>
          <t>150-5370-10H.pdf</t>
        </is>
      </c>
      <c r="C196" s="2" t="n">
        <v>551</v>
      </c>
      <c r="D196" s="2" t="n">
        <v>1</v>
      </c>
      <c r="E196" s="2" t="inlineStr">
        <is>
          <t>12/21/2018 AC 150/5370-10H</t>
        </is>
      </c>
      <c r="F196" s="2" t="inlineStr">
        <is>
          <t>Nē</t>
        </is>
      </c>
      <c r="G196" s="2" t="n"/>
    </row>
    <row r="197">
      <c r="A197" s="2" t="inlineStr">
        <is>
          <t>150-5370-10H-P0551-002</t>
        </is>
      </c>
      <c r="B197" s="2" t="inlineStr">
        <is>
          <t>150-5370-10H.pdf</t>
        </is>
      </c>
      <c r="C197" s="2" t="n">
        <v>551</v>
      </c>
      <c r="D197" s="2" t="n">
        <v>2</v>
      </c>
      <c r="E197" s="2" t="inlineStr">
        <is>
          <t>and preservative shall be with waterborne preservatives in accordance with American Wood Preservers Association (AWPA) Standard U1, Use Category 4 (UC4).</t>
        </is>
      </c>
      <c r="F197" s="2" t="inlineStr">
        <is>
          <t>Nē</t>
        </is>
      </c>
      <c r="G197" s="2" t="n"/>
    </row>
    <row r="198">
      <c r="A198" s="2" t="inlineStr">
        <is>
          <t>150-5370-10H-P0551-003</t>
        </is>
      </c>
      <c r="B198" s="2" t="inlineStr">
        <is>
          <t>150-5370-10H.pdf</t>
        </is>
      </c>
      <c r="C198" s="2" t="n">
        <v>551</v>
      </c>
      <c r="D198" s="2" t="n">
        <v>3</v>
      </c>
      <c r="E198" s="2" t="inlineStr">
        <is>
          <t>160-2.4 Braces.</t>
        </is>
      </c>
      <c r="F198" s="2" t="inlineStr">
        <is>
          <t>Nē</t>
        </is>
      </c>
      <c r="G198" s="2" t="n"/>
    </row>
    <row r="199">
      <c r="A199" s="2" t="inlineStr">
        <is>
          <t>150-5370-10H-P0551-004</t>
        </is>
      </c>
      <c r="B199" s="2" t="inlineStr">
        <is>
          <t>150-5370-10H.pdf</t>
        </is>
      </c>
      <c r="C199" s="2" t="n">
        <v>551</v>
      </c>
      <c r="D199" s="2" t="n">
        <v>4</v>
      </c>
      <c r="E199" s="2" t="inlineStr">
        <is>
          <t>Cleats, gate stops, and braces shall be of the size shown on the plans.</t>
        </is>
      </c>
      <c r="F199" s="2" t="inlineStr">
        <is>
          <t>Nē</t>
        </is>
      </c>
      <c r="G199" s="2" t="n"/>
    </row>
    <row r="200">
      <c r="A200" s="2" t="inlineStr">
        <is>
          <t>150-5370-10H-P0551-005</t>
        </is>
      </c>
      <c r="B200" s="2" t="inlineStr">
        <is>
          <t>150-5370-10H.pdf</t>
        </is>
      </c>
      <c r="C200" s="2" t="n">
        <v>551</v>
      </c>
      <c r="D200" s="2" t="n">
        <v>5</v>
      </c>
      <c r="E200" s="2" t="inlineStr">
        <is>
          <t>They shall be of the same species and quality specified for the posts or approved by the RPR, and they shall be free from knots larger than one-third the width of the piece.</t>
        </is>
      </c>
      <c r="F200" s="2" t="inlineStr">
        <is>
          <t>Nē</t>
        </is>
      </c>
      <c r="G200" s="2" t="n"/>
    </row>
    <row r="201">
      <c r="A201" s="2" t="inlineStr">
        <is>
          <t>150-5370-10H-P0551-006</t>
        </is>
      </c>
      <c r="B201" s="2" t="inlineStr">
        <is>
          <t>150-5370-10H.pdf</t>
        </is>
      </c>
      <c r="C201" s="2" t="n">
        <v>551</v>
      </c>
      <c r="D201" s="2" t="n">
        <v>6</v>
      </c>
      <c r="E201" s="2" t="inlineStr">
        <is>
          <t>Gate stops shall be made of posts of suitable length.</t>
        </is>
      </c>
      <c r="F201" s="2" t="inlineStr">
        <is>
          <t>Nē</t>
        </is>
      </c>
      <c r="G201" s="2" t="n"/>
    </row>
    <row r="202">
      <c r="A202" s="2" t="inlineStr">
        <is>
          <t>150-5370-10H-P0551-007</t>
        </is>
      </c>
      <c r="B202" s="2" t="inlineStr">
        <is>
          <t>150-5370-10H.pdf</t>
        </is>
      </c>
      <c r="C202" s="2" t="n">
        <v>551</v>
      </c>
      <c r="D202" s="2" t="n">
        <v>7</v>
      </c>
      <c r="E202" s="2" t="inlineStr">
        <is>
          <t>Braces may be made of posts of suitable length or of sawed lumber.</t>
        </is>
      </c>
      <c r="F202" s="2" t="inlineStr">
        <is>
          <t>Nē</t>
        </is>
      </c>
      <c r="G202" s="2" t="n"/>
    </row>
    <row r="203">
      <c r="A203" s="2" t="inlineStr">
        <is>
          <t>150-5370-10H-P0551-008</t>
        </is>
      </c>
      <c r="B203" s="2" t="inlineStr">
        <is>
          <t>150-5370-10H.pdf</t>
        </is>
      </c>
      <c r="C203" s="2" t="n">
        <v>551</v>
      </c>
      <c r="D203" s="2" t="n">
        <v>8</v>
      </c>
      <c r="E203" s="2" t="inlineStr">
        <is>
          <t>All cleats, gate stops, and any braces in contact with the ground and for a distance of at least 6 inches (150 mm) above the ground shall be treated by the hot and cold bath process, specified herein for posts.</t>
        </is>
      </c>
      <c r="F203" s="2" t="inlineStr">
        <is>
          <t>Nē</t>
        </is>
      </c>
      <c r="G203" s="2" t="n"/>
    </row>
    <row r="204">
      <c r="A204" s="2" t="inlineStr">
        <is>
          <t>150-5370-10H-P0551-009</t>
        </is>
      </c>
      <c r="B204" s="2" t="inlineStr">
        <is>
          <t>150-5370-10H.pdf</t>
        </is>
      </c>
      <c r="C204" s="2" t="n">
        <v>551</v>
      </c>
      <c r="D204" s="2" t="n">
        <v>9</v>
      </c>
      <c r="E204" s="2" t="inlineStr">
        <is>
          <t>The wire used in cable for bracing shall conform to paragraph 160-2.1e.</t>
        </is>
      </c>
      <c r="F204" s="2" t="inlineStr">
        <is>
          <t>Nē</t>
        </is>
      </c>
      <c r="G204" s="2" t="n"/>
    </row>
    <row r="205">
      <c r="A205" s="2" t="inlineStr">
        <is>
          <t>150-5370-10H-P0551-010</t>
        </is>
      </c>
      <c r="B205" s="2" t="inlineStr">
        <is>
          <t>150-5370-10H.pdf</t>
        </is>
      </c>
      <c r="C205" s="2" t="n">
        <v>551</v>
      </c>
      <c r="D205" s="2" t="n">
        <v>10</v>
      </c>
      <c r="E205" s="2" t="inlineStr">
        <is>
          <t>160-2.5 Staples.</t>
        </is>
      </c>
      <c r="F205" s="2" t="inlineStr">
        <is>
          <t>Nē</t>
        </is>
      </c>
      <c r="G205" s="2" t="n"/>
    </row>
    <row r="206">
      <c r="A206" s="2" t="inlineStr">
        <is>
          <t>150-5370-10H-P0551-011</t>
        </is>
      </c>
      <c r="B206" s="2" t="inlineStr">
        <is>
          <t>150-5370-10H.pdf</t>
        </is>
      </c>
      <c r="C206" s="2" t="n">
        <v>551</v>
      </c>
      <c r="D206" s="2" t="n">
        <v>11</v>
      </c>
      <c r="E206" s="2" t="inlineStr">
        <is>
          <t>The staples shall be No.</t>
        </is>
      </c>
      <c r="F206" s="2" t="inlineStr">
        <is>
          <t>Nē</t>
        </is>
      </c>
      <c r="G206" s="2" t="n"/>
    </row>
    <row r="207">
      <c r="A207" s="2" t="inlineStr">
        <is>
          <t>150-5370-10H-P0551-012</t>
        </is>
      </c>
      <c r="B207" s="2" t="inlineStr">
        <is>
          <t>150-5370-10H.pdf</t>
        </is>
      </c>
      <c r="C207" s="2" t="n">
        <v>551</v>
      </c>
      <c r="D207" s="2" t="n">
        <v>12</v>
      </c>
      <c r="E207" s="2" t="inlineStr">
        <is>
          <t>9 galvanized steel wire, one inch (25 mm) long for hardwood posts and 1-1/2 inch (38 mm) long for use in softwood posts.</t>
        </is>
      </c>
      <c r="F207" s="2" t="inlineStr">
        <is>
          <t>Nē</t>
        </is>
      </c>
      <c r="G207" s="2" t="n"/>
    </row>
    <row r="208">
      <c r="A208" s="2" t="inlineStr">
        <is>
          <t>150-5370-10H-P0551-013</t>
        </is>
      </c>
      <c r="B208" s="2" t="inlineStr">
        <is>
          <t>150-5370-10H.pdf</t>
        </is>
      </c>
      <c r="C208" s="2" t="n">
        <v>551</v>
      </c>
      <c r="D208" s="2" t="n">
        <v>13</v>
      </c>
      <c r="E208" s="2" t="inlineStr">
        <is>
          <t>CONSTRUCTION METHODS</t>
        </is>
      </c>
      <c r="F208" s="2" t="inlineStr">
        <is>
          <t>Nē</t>
        </is>
      </c>
      <c r="G208" s="2" t="n"/>
    </row>
    <row r="209">
      <c r="A209" s="2" t="inlineStr">
        <is>
          <t>150-5370-10H-P0551-014</t>
        </is>
      </c>
      <c r="B209" s="2" t="inlineStr">
        <is>
          <t>150-5370-10H.pdf</t>
        </is>
      </c>
      <c r="C209" s="2" t="n">
        <v>551</v>
      </c>
      <c r="D209" s="2" t="n">
        <v>14</v>
      </c>
      <c r="E209" s="2" t="inlineStr">
        <is>
          <t>160-3.1 General.</t>
        </is>
      </c>
      <c r="F209" s="2" t="inlineStr">
        <is>
          <t>Nē</t>
        </is>
      </c>
      <c r="G209" s="2" t="n"/>
    </row>
    <row r="210">
      <c r="A210" s="2" t="inlineStr">
        <is>
          <t>150-5370-10H-P0551-015</t>
        </is>
      </c>
      <c r="B210" s="2" t="inlineStr">
        <is>
          <t>150-5370-10H.pdf</t>
        </is>
      </c>
      <c r="C210" s="2" t="n">
        <v>551</v>
      </c>
      <c r="D210" s="2" t="n">
        <v>15</v>
      </c>
      <c r="E210" s="2" t="inlineStr">
        <is>
          <t>The fence shall be constructed in accordance with the details on the plans and as specified here using new materials.</t>
        </is>
      </c>
      <c r="F210" s="2" t="inlineStr">
        <is>
          <t>Nē</t>
        </is>
      </c>
      <c r="G210" s="2" t="n"/>
    </row>
    <row r="211">
      <c r="A211" s="2" t="inlineStr">
        <is>
          <t>150-5370-10H-P0551-016</t>
        </is>
      </c>
      <c r="B211" s="2" t="inlineStr">
        <is>
          <t>150-5370-10H.pdf</t>
        </is>
      </c>
      <c r="C211" s="2" t="n">
        <v>551</v>
      </c>
      <c r="D211" s="2" t="n">
        <v>16</v>
      </c>
      <c r="E211" s="2" t="inlineStr">
        <is>
          <t>All work shall be performed in a workmanlike manner, satisfactory to the RPR.</t>
        </is>
      </c>
      <c r="F211" s="2" t="inlineStr">
        <is>
          <t>Nē</t>
        </is>
      </c>
      <c r="G211" s="2" t="n"/>
    </row>
    <row r="212">
      <c r="A212" s="2" t="inlineStr">
        <is>
          <t>150-5370-10H-P0551-017</t>
        </is>
      </c>
      <c r="B212" s="2" t="inlineStr">
        <is>
          <t>150-5370-10H.pdf</t>
        </is>
      </c>
      <c r="C212" s="2" t="n">
        <v>551</v>
      </c>
      <c r="D212" s="2" t="n">
        <v>17</v>
      </c>
      <c r="E212" s="2" t="inlineStr">
        <is>
          <t>[ The RPR shall establish and mark the property line or fence line for the work. ] [ The Contractor shall layout the fence line based on the plans. ] The Contractor shall span the opening below the fence with barbed wire at all locations where it is not practical to conform the fence to the general contour of the ground surface because of natural or manmade features such as drainage ditches.</t>
        </is>
      </c>
      <c r="F212" s="2" t="inlineStr">
        <is>
          <t>Nē</t>
        </is>
      </c>
      <c r="G212" s="2" t="n"/>
    </row>
    <row r="213">
      <c r="A213" s="2" t="inlineStr">
        <is>
          <t>150-5370-10H-P0551-018</t>
        </is>
      </c>
      <c r="B213" s="2" t="inlineStr">
        <is>
          <t>150-5370-10H.pdf</t>
        </is>
      </c>
      <c r="C213" s="2" t="n">
        <v>551</v>
      </c>
      <c r="D213" s="2" t="n">
        <v>18</v>
      </c>
      <c r="E213" s="2" t="inlineStr">
        <is>
          <t>The new fence shall be permanently tied to the terminals of existing fences whenever required by the RPR.</t>
        </is>
      </c>
      <c r="F213" s="2" t="inlineStr">
        <is>
          <t>Nē</t>
        </is>
      </c>
      <c r="G213" s="2" t="n"/>
    </row>
    <row r="214">
      <c r="A214" s="2" t="inlineStr">
        <is>
          <t>150-5370-10H-P0551-019</t>
        </is>
      </c>
      <c r="B214" s="2" t="inlineStr">
        <is>
          <t>150-5370-10H.pdf</t>
        </is>
      </c>
      <c r="C214" s="2" t="n">
        <v>551</v>
      </c>
      <c r="D214" s="2" t="n">
        <v>19</v>
      </c>
      <c r="E214" s="2" t="inlineStr">
        <is>
          <t>The finished fence shall be plumb, taut, true to line and ground contour, and complete in every detail.</t>
        </is>
      </c>
      <c r="F214" s="2" t="inlineStr">
        <is>
          <t>Nē</t>
        </is>
      </c>
      <c r="G214" s="2" t="n"/>
    </row>
    <row r="215">
      <c r="A215" s="2" t="inlineStr">
        <is>
          <t>150-5370-10H-P0551-020</t>
        </is>
      </c>
      <c r="B215" s="2" t="inlineStr">
        <is>
          <t>150-5370-10H.pdf</t>
        </is>
      </c>
      <c r="C215" s="2" t="n">
        <v>551</v>
      </c>
      <c r="D215" s="2" t="n">
        <v>20</v>
      </c>
      <c r="E215" s="2" t="inlineStr">
        <is>
          <t>When directed by the RPR, the Contractor shall stake down the woven wire fence at several points between posts.</t>
        </is>
      </c>
      <c r="F215" s="2" t="inlineStr">
        <is>
          <t>Nē</t>
        </is>
      </c>
      <c r="G215" s="2" t="n"/>
    </row>
    <row r="216">
      <c r="A216" s="2" t="inlineStr">
        <is>
          <t>150-5370-10H-P0551-021</t>
        </is>
      </c>
      <c r="B216" s="2" t="inlineStr">
        <is>
          <t>150-5370-10H.pdf</t>
        </is>
      </c>
      <c r="C216" s="2" t="n">
        <v>551</v>
      </c>
      <c r="D216" s="2" t="n">
        <v>21</v>
      </c>
      <c r="E216" s="2" t="inlineStr">
        <is>
          <t>The Contractor shall arrange the work so construction of the new fence immediately follows the removal of existing fences.</t>
        </is>
      </c>
      <c r="F216" s="2" t="inlineStr">
        <is>
          <t>Nē</t>
        </is>
      </c>
      <c r="G216" s="2" t="n"/>
    </row>
    <row r="217">
      <c r="A217" s="2" t="inlineStr">
        <is>
          <t>150-5370-10H-P0551-022</t>
        </is>
      </c>
      <c r="B217" s="2" t="inlineStr">
        <is>
          <t>150-5370-10H.pdf</t>
        </is>
      </c>
      <c r="C217" s="2" t="n">
        <v>551</v>
      </c>
      <c r="D217" s="2" t="n">
        <v>22</v>
      </c>
      <c r="E217" s="2" t="inlineStr">
        <is>
          <t>The length of unfenced section at any time shall not exceed 300 feet (90 m).</t>
        </is>
      </c>
      <c r="F217" s="2" t="inlineStr">
        <is>
          <t>Nē</t>
        </is>
      </c>
      <c r="G217" s="2" t="n"/>
    </row>
    <row r="218">
      <c r="A218" s="2" t="inlineStr">
        <is>
          <t>150-5370-10H-P0551-023</t>
        </is>
      </c>
      <c r="B218" s="2" t="inlineStr">
        <is>
          <t>150-5370-10H.pdf</t>
        </is>
      </c>
      <c r="C218" s="2" t="n">
        <v>551</v>
      </c>
      <c r="D218" s="2" t="n">
        <v>23</v>
      </c>
      <c r="E218" s="2" t="inlineStr">
        <is>
          <t>The work shall progress in this manner, and at the close of the working day, the newly constructed fence shall be tied to the unremoved existing fence.</t>
        </is>
      </c>
      <c r="F218" s="2" t="inlineStr">
        <is>
          <t>Nē</t>
        </is>
      </c>
      <c r="G218" s="2" t="n"/>
    </row>
    <row r="219">
      <c r="A219" s="2" t="inlineStr">
        <is>
          <t>150-5370-10H-P0551-024</t>
        </is>
      </c>
      <c r="B219" s="2" t="inlineStr">
        <is>
          <t>150-5370-10H.pdf</t>
        </is>
      </c>
      <c r="C219" s="2" t="n">
        <v>551</v>
      </c>
      <c r="D219" s="2" t="n">
        <v>24</v>
      </c>
      <c r="E219" s="2" t="inlineStr">
        <is>
          <t>Select whether the RPR or Contractor will lay out the fence and/or property lines.</t>
        </is>
      </c>
      <c r="F219" s="2" t="inlineStr">
        <is>
          <t>Nē</t>
        </is>
      </c>
      <c r="G219" s="2" t="n"/>
    </row>
    <row r="220">
      <c r="A220" s="2" t="inlineStr">
        <is>
          <t>150-5370-10H-P0551-025</t>
        </is>
      </c>
      <c r="B220" s="2" t="inlineStr">
        <is>
          <t>150-5370-10H.pdf</t>
        </is>
      </c>
      <c r="C220" s="2" t="n">
        <v>551</v>
      </c>
      <c r="D220" s="2" t="n">
        <v>25</v>
      </c>
      <c r="E220" s="2" t="inlineStr">
        <is>
          <t>160-3.2 Clearing fence line.</t>
        </is>
      </c>
      <c r="F220" s="2" t="inlineStr">
        <is>
          <t>Nē</t>
        </is>
      </c>
      <c r="G220" s="2" t="n"/>
    </row>
    <row r="221">
      <c r="A221" s="2" t="inlineStr">
        <is>
          <t>150-5370-10H-P0551-026</t>
        </is>
      </c>
      <c r="B221" s="2" t="inlineStr">
        <is>
          <t>150-5370-10H.pdf</t>
        </is>
      </c>
      <c r="C221" s="2" t="n">
        <v>551</v>
      </c>
      <c r="D221" s="2" t="n">
        <v>26</v>
      </c>
      <c r="E221" s="2" t="inlineStr">
        <is>
          <t>The site of the fence shall be sufficiently clear of obstructions, and surface irregularities.</t>
        </is>
      </c>
      <c r="F221" s="2" t="inlineStr">
        <is>
          <t>Nē</t>
        </is>
      </c>
      <c r="G221" s="2" t="n"/>
    </row>
    <row r="222">
      <c r="A222" s="2" t="inlineStr">
        <is>
          <t>150-5370-10H-P0551-027</t>
        </is>
      </c>
      <c r="B222" s="2" t="inlineStr">
        <is>
          <t>150-5370-10H.pdf</t>
        </is>
      </c>
      <c r="C222" s="2" t="n">
        <v>551</v>
      </c>
      <c r="D222" s="2" t="n">
        <v>27</v>
      </c>
      <c r="E222" s="2" t="inlineStr">
        <is>
          <t>The fence line shall be graded so that the fence will conform to the general contour of the ground.</t>
        </is>
      </c>
      <c r="F222" s="2" t="inlineStr">
        <is>
          <t>Nē</t>
        </is>
      </c>
      <c r="G222" s="2" t="n"/>
    </row>
    <row r="223">
      <c r="A223" s="2" t="inlineStr">
        <is>
          <t>150-5370-10H-P0551-028</t>
        </is>
      </c>
      <c r="B223" s="2" t="inlineStr">
        <is>
          <t>150-5370-10H.pdf</t>
        </is>
      </c>
      <c r="C223" s="2" t="n">
        <v>551</v>
      </c>
      <c r="D223" s="2" t="n">
        <v>28</v>
      </c>
      <c r="E223" s="2" t="inlineStr">
        <is>
          <t>The fence line shall be cleared on each side of the centerline of the fence.</t>
        </is>
      </c>
      <c r="F223" s="2" t="inlineStr">
        <is>
          <t>Nē</t>
        </is>
      </c>
      <c r="G223" s="2" t="n"/>
    </row>
    <row r="224">
      <c r="A224" s="2" t="inlineStr">
        <is>
          <t>150-5370-10H-P0551-029</t>
        </is>
      </c>
      <c r="B224" s="2" t="inlineStr">
        <is>
          <t>150-5370-10H.pdf</t>
        </is>
      </c>
      <c r="C224" s="2" t="n">
        <v>551</v>
      </c>
      <c r="D224" s="2" t="n">
        <v>29</v>
      </c>
      <c r="E224" s="2" t="inlineStr">
        <is>
          <t>This clearing shall consist of the removal of all stumps, brush, rocks, trees, or other obstructions that will interfere with proper construction of the fence.</t>
        </is>
      </c>
      <c r="F224" s="2" t="inlineStr">
        <is>
          <t>Nē</t>
        </is>
      </c>
      <c r="G224" s="2" t="n"/>
    </row>
    <row r="225">
      <c r="A225" s="2" t="inlineStr">
        <is>
          <t>150-5370-10H-P0551-030</t>
        </is>
      </c>
      <c r="B225" s="2" t="inlineStr">
        <is>
          <t>150-5370-10H.pdf</t>
        </is>
      </c>
      <c r="C225" s="2" t="n">
        <v>551</v>
      </c>
      <c r="D225" s="2" t="n">
        <v>30</v>
      </c>
      <c r="E225" s="2" t="inlineStr">
        <is>
          <t>Stumps within the cleared area of the fence line shall be grubbed or excavated.</t>
        </is>
      </c>
      <c r="F225" s="2" t="inlineStr">
        <is>
          <t>Nē</t>
        </is>
      </c>
      <c r="G225" s="2" t="n"/>
    </row>
    <row r="226">
      <c r="A226" s="2" t="inlineStr">
        <is>
          <t>150-5370-10H-P0551-031</t>
        </is>
      </c>
      <c r="B226" s="2" t="inlineStr">
        <is>
          <t>150-5370-10H.pdf</t>
        </is>
      </c>
      <c r="C226" s="2" t="n">
        <v>551</v>
      </c>
      <c r="D226" s="2" t="n">
        <v>31</v>
      </c>
      <c r="E226" s="2" t="inlineStr">
        <is>
          <t>The bottom of the fence shall be placed a uniform distance above ground as specified in the plans.</t>
        </is>
      </c>
      <c r="F226" s="2" t="inlineStr">
        <is>
          <t>Nē</t>
        </is>
      </c>
      <c r="G226" s="2" t="n"/>
    </row>
    <row r="227">
      <c r="A227" s="2" t="inlineStr">
        <is>
          <t>150-5370-10H-P0551-032</t>
        </is>
      </c>
      <c r="B227" s="2" t="inlineStr">
        <is>
          <t>150-5370-10H.pdf</t>
        </is>
      </c>
      <c r="C227" s="2" t="n">
        <v>551</v>
      </c>
      <c r="D227" s="2" t="n">
        <v>32</v>
      </c>
      <c r="E227" s="2" t="inlineStr">
        <is>
          <t>When shown on the plans or as directed by the RPR, the existing fences which interfere with the new fence location shall be removed by the Contractor as part of the construction work, unless removal is listed as a separate item in the bid schedule.</t>
        </is>
      </c>
      <c r="F227" s="2" t="inlineStr">
        <is>
          <t>Nē</t>
        </is>
      </c>
      <c r="G227" s="2" t="n"/>
    </row>
    <row r="228">
      <c r="A228" s="2" t="inlineStr">
        <is>
          <t>150-5370-10H-P0551-033</t>
        </is>
      </c>
      <c r="B228" s="2" t="inlineStr">
        <is>
          <t>150-5370-10H.pdf</t>
        </is>
      </c>
      <c r="C228" s="2" t="n">
        <v>551</v>
      </c>
      <c r="D228" s="2" t="n">
        <v>33</v>
      </c>
      <c r="E228" s="2" t="inlineStr">
        <is>
          <t>All holes remaining after post and stump removal shall be refilled with suitable soil, gravel, or other material and shall be compacted with tampers.</t>
        </is>
      </c>
      <c r="F228" s="2" t="inlineStr">
        <is>
          <t>Nē</t>
        </is>
      </c>
      <c r="G228" s="2" t="n"/>
    </row>
    <row r="229">
      <c r="A229" s="2" t="inlineStr">
        <is>
          <t>150-5370-10H-P0551-034</t>
        </is>
      </c>
      <c r="B229" s="2" t="inlineStr">
        <is>
          <t>150-5370-10H.pdf</t>
        </is>
      </c>
      <c r="C229" s="2" t="n">
        <v>551</v>
      </c>
      <c r="D229" s="2" t="n">
        <v>34</v>
      </c>
      <c r="E229" s="2" t="inlineStr">
        <is>
          <t>The work shall include the handling and disposal of all material cleared, of excess excavation and the removal of spoiled material regardless of the type, character, composition, or condition of such material encountered.</t>
        </is>
      </c>
      <c r="F229" s="2" t="inlineStr">
        <is>
          <t>Nē</t>
        </is>
      </c>
      <c r="G229" s="2" t="n"/>
    </row>
    <row r="230">
      <c r="A230" s="2" t="inlineStr">
        <is>
          <t>150-5370-10H-P0551-035</t>
        </is>
      </c>
      <c r="B230" s="2" t="inlineStr">
        <is>
          <t>150-5370-10H.pdf</t>
        </is>
      </c>
      <c r="C230" s="2" t="n">
        <v>551</v>
      </c>
      <c r="D230" s="2" t="n">
        <v>35</v>
      </c>
      <c r="E230" s="2" t="inlineStr">
        <is>
          <t>Item F-160 Wire Fence with Wood Posts (Class A and B Fences) 543</t>
        </is>
      </c>
      <c r="F230" s="2" t="inlineStr">
        <is>
          <t>Nē</t>
        </is>
      </c>
      <c r="G230" s="2" t="n"/>
    </row>
    <row r="231">
      <c r="A231" s="2" t="inlineStr">
        <is>
          <t>150-5370-10H-P0555-001</t>
        </is>
      </c>
      <c r="B231" s="2" t="inlineStr">
        <is>
          <t>150-5370-10H.pdf</t>
        </is>
      </c>
      <c r="C231" s="2" t="n">
        <v>555</v>
      </c>
      <c r="D231" s="2" t="n">
        <v>1</v>
      </c>
      <c r="E231" s="2" t="inlineStr">
        <is>
          <t>12/21/2018 AC 150/5370-10H</t>
        </is>
      </c>
      <c r="F231" s="2" t="inlineStr">
        <is>
          <t>Nē</t>
        </is>
      </c>
      <c r="G231" s="2" t="n"/>
    </row>
    <row r="232">
      <c r="A232" s="2" t="inlineStr">
        <is>
          <t>150-5370-10H-P0555-002</t>
        </is>
      </c>
      <c r="B232" s="2" t="inlineStr">
        <is>
          <t>150-5370-10H.pdf</t>
        </is>
      </c>
      <c r="C232" s="2" t="n">
        <v>555</v>
      </c>
      <c r="D232" s="2" t="n">
        <v>2</v>
      </c>
      <c r="E232" s="2" t="inlineStr">
        <is>
          <t>Item F-161 Wire Fence with Steel Posts (Class C and D Fence)</t>
        </is>
      </c>
      <c r="F232" s="2" t="inlineStr">
        <is>
          <t>Nē</t>
        </is>
      </c>
      <c r="G232" s="2" t="n"/>
    </row>
    <row r="233">
      <c r="A233" s="2" t="inlineStr">
        <is>
          <t>150-5370-10H-P0555-003</t>
        </is>
      </c>
      <c r="B233" s="2" t="inlineStr">
        <is>
          <t>150-5370-10H.pdf</t>
        </is>
      </c>
      <c r="C233" s="2" t="n">
        <v>555</v>
      </c>
      <c r="D233" s="2" t="n">
        <v>3</v>
      </c>
      <c r="E233" s="2" t="inlineStr">
        <is>
          <t>This specification may be edited as necessary to match the approved wildlife hazard assessment and /or security plan.</t>
        </is>
      </c>
      <c r="F233" s="2" t="inlineStr">
        <is>
          <t>Nē</t>
        </is>
      </c>
      <c r="G233" s="2" t="n"/>
    </row>
    <row r="234">
      <c r="A234" s="2" t="inlineStr">
        <is>
          <t>150-5370-10H-P0555-004</t>
        </is>
      </c>
      <c r="B234" s="2" t="inlineStr">
        <is>
          <t>150-5370-10H.pdf</t>
        </is>
      </c>
      <c r="C234" s="2" t="n">
        <v>555</v>
      </c>
      <c r="D234" s="2" t="n">
        <v>4</v>
      </c>
      <c r="E234" s="2" t="inlineStr">
        <is>
          <t>Security fencing is intended to slow the access of pedestrians and vehicles onto an airport as outlined in a 1542 Security Plan.</t>
        </is>
      </c>
      <c r="F234" s="2" t="inlineStr">
        <is>
          <t>Nē</t>
        </is>
      </c>
      <c r="G234" s="2" t="n"/>
    </row>
    <row r="235">
      <c r="A235" s="2" t="inlineStr">
        <is>
          <t>150-5370-10H-P0555-005</t>
        </is>
      </c>
      <c r="B235" s="2" t="inlineStr">
        <is>
          <t>150-5370-10H.pdf</t>
        </is>
      </c>
      <c r="C235" s="2" t="n">
        <v>555</v>
      </c>
      <c r="D235" s="2" t="n">
        <v>5</v>
      </c>
      <c r="E235" s="2" t="inlineStr">
        <is>
          <t>See AIP Handbook FAA Order 5300.38 for guidance on eligibility of federal funds for fencing.</t>
        </is>
      </c>
      <c r="F235" s="2" t="inlineStr">
        <is>
          <t>Nē</t>
        </is>
      </c>
      <c r="G235" s="2" t="n"/>
    </row>
    <row r="236">
      <c r="A236" s="2" t="inlineStr">
        <is>
          <t>150-5370-10H-P0555-006</t>
        </is>
      </c>
      <c r="B236" s="2" t="inlineStr">
        <is>
          <t>150-5370-10H.pdf</t>
        </is>
      </c>
      <c r="C236" s="2" t="n">
        <v>555</v>
      </c>
      <c r="D236" s="2" t="n">
        <v>6</v>
      </c>
      <c r="E236" s="2" t="inlineStr">
        <is>
          <t>Prior to specifying fencing material on a federally funded project the type and nature of fencing will depend upon what purpose the fence is intended for.</t>
        </is>
      </c>
      <c r="F236" s="2" t="inlineStr">
        <is>
          <t>Nē</t>
        </is>
      </c>
      <c r="G236" s="2" t="n"/>
    </row>
    <row r="237">
      <c r="A237" s="2" t="inlineStr">
        <is>
          <t>150-5370-10H-P0555-007</t>
        </is>
      </c>
      <c r="B237" s="2" t="inlineStr">
        <is>
          <t>150-5370-10H.pdf</t>
        </is>
      </c>
      <c r="C237" s="2" t="n">
        <v>555</v>
      </c>
      <c r="D237" s="2" t="n">
        <v>7</v>
      </c>
      <c r="E237" s="2" t="inlineStr">
        <is>
          <t>Perimeter fencing is typically used to designate the boundary of property, typically this is woven wire or barb wire type fencing.</t>
        </is>
      </c>
      <c r="F237" s="2" t="inlineStr">
        <is>
          <t>Nē</t>
        </is>
      </c>
      <c r="G237" s="2" t="n"/>
    </row>
    <row r="238">
      <c r="A238" s="2" t="inlineStr">
        <is>
          <t>150-5370-10H-P0555-008</t>
        </is>
      </c>
      <c r="B238" s="2" t="inlineStr">
        <is>
          <t>150-5370-10H.pdf</t>
        </is>
      </c>
      <c r="C238" s="2" t="n">
        <v>555</v>
      </c>
      <c r="D238" s="2" t="n">
        <v>8</v>
      </c>
      <c r="E238" s="2" t="inlineStr">
        <is>
          <t>Wildlife fencing is to impede the entry of wildlife onto an airport is as outlined in a Wildlife Hazard Assessment Plan.</t>
        </is>
      </c>
      <c r="F238" s="2" t="inlineStr">
        <is>
          <t>Nē</t>
        </is>
      </c>
      <c r="G238" s="2" t="n"/>
    </row>
    <row r="239">
      <c r="A239" s="2" t="inlineStr">
        <is>
          <t>150-5370-10H-P0555-009</t>
        </is>
      </c>
      <c r="B239" s="2" t="inlineStr">
        <is>
          <t>150-5370-10H.pdf</t>
        </is>
      </c>
      <c r="C239" s="2" t="n">
        <v>555</v>
      </c>
      <c r="D239" s="2" t="n">
        <v>9</v>
      </c>
      <c r="E239" s="2" t="inlineStr">
        <is>
          <t>All steel and manufactured goods provided for this item must meet the Buy American provisions contained in this contract.</t>
        </is>
      </c>
      <c r="F239" s="2" t="inlineStr">
        <is>
          <t>Nē</t>
        </is>
      </c>
      <c r="G239" s="2" t="n"/>
    </row>
    <row r="240">
      <c r="A240" s="2" t="inlineStr">
        <is>
          <t>150-5370-10H-P0555-010</t>
        </is>
      </c>
      <c r="B240" s="2" t="inlineStr">
        <is>
          <t>150-5370-10H.pdf</t>
        </is>
      </c>
      <c r="C240" s="2" t="n">
        <v>555</v>
      </c>
      <c r="D240" s="2" t="n">
        <v>10</v>
      </c>
      <c r="E240" s="2" t="inlineStr">
        <is>
          <t>DESCRIPTION</t>
        </is>
      </c>
      <c r="F240" s="2" t="inlineStr">
        <is>
          <t>Nē</t>
        </is>
      </c>
      <c r="G240" s="2" t="n"/>
    </row>
    <row r="241">
      <c r="A241" s="2" t="inlineStr">
        <is>
          <t>150-5370-10H-P0555-011</t>
        </is>
      </c>
      <c r="B241" s="2" t="inlineStr">
        <is>
          <t>150-5370-10H.pdf</t>
        </is>
      </c>
      <c r="C241" s="2" t="n">
        <v>555</v>
      </c>
      <c r="D241" s="2" t="n">
        <v>11</v>
      </c>
      <c r="E241" s="2" t="inlineStr">
        <is>
          <t>161-1.1 This item covers the requirements for furnishing materials and constructing new wire fences and gates with steel posts in accordance with the details included herein and as shown on the plans.</t>
        </is>
      </c>
      <c r="F241" s="2" t="inlineStr">
        <is>
          <t>Nē</t>
        </is>
      </c>
      <c r="G241" s="2" t="n"/>
    </row>
    <row r="242">
      <c r="A242" s="2" t="inlineStr">
        <is>
          <t>150-5370-10H-P0555-012</t>
        </is>
      </c>
      <c r="B242" s="2" t="inlineStr">
        <is>
          <t>150-5370-10H.pdf</t>
        </is>
      </c>
      <c r="C242" s="2" t="n">
        <v>555</v>
      </c>
      <c r="D242" s="2" t="n">
        <v>12</v>
      </c>
      <c r="E242" s="2" t="inlineStr">
        <is>
          <t>The class of fence to be erected shall be either Class C, woven wire fencing surmounted by two strands of barbed wire, or Class D, four strands of barbed wire, as indicated on the plans.</t>
        </is>
      </c>
      <c r="F242" s="2" t="inlineStr">
        <is>
          <t>Nē</t>
        </is>
      </c>
      <c r="G242" s="2" t="n"/>
    </row>
    <row r="243">
      <c r="A243" s="2" t="inlineStr">
        <is>
          <t>150-5370-10H-P0555-013</t>
        </is>
      </c>
      <c r="B243" s="2" t="inlineStr">
        <is>
          <t>150-5370-10H.pdf</t>
        </is>
      </c>
      <c r="C243" s="2" t="n">
        <v>555</v>
      </c>
      <c r="D243" s="2" t="n">
        <v>13</v>
      </c>
      <c r="E243" s="2" t="inlineStr">
        <is>
          <t>MATERIALS</t>
        </is>
      </c>
      <c r="F243" s="2" t="inlineStr">
        <is>
          <t>Nē</t>
        </is>
      </c>
      <c r="G243" s="2" t="n"/>
    </row>
    <row r="244">
      <c r="A244" s="2" t="inlineStr">
        <is>
          <t>150-5370-10H-P0555-014</t>
        </is>
      </c>
      <c r="B244" s="2" t="inlineStr">
        <is>
          <t>150-5370-10H.pdf</t>
        </is>
      </c>
      <c r="C244" s="2" t="n">
        <v>555</v>
      </c>
      <c r="D244" s="2" t="n">
        <v>14</v>
      </c>
      <c r="E244" s="2" t="inlineStr">
        <is>
          <t>161-2.1 Wire.</t>
        </is>
      </c>
      <c r="F244" s="2" t="inlineStr">
        <is>
          <t>Nē</t>
        </is>
      </c>
      <c r="G244" s="2" t="n"/>
    </row>
    <row r="245">
      <c r="A245" s="2" t="inlineStr">
        <is>
          <t>150-5370-10H-P0555-015</t>
        </is>
      </c>
      <c r="B245" s="2" t="inlineStr">
        <is>
          <t>150-5370-10H.pdf</t>
        </is>
      </c>
      <c r="C245" s="2" t="n">
        <v>555</v>
      </c>
      <c r="D245" s="2" t="n">
        <v>15</v>
      </c>
      <c r="E245" s="2" t="inlineStr">
        <is>
          <t>a. Woven wire (zinc-coated).</t>
        </is>
      </c>
      <c r="F245" s="2" t="inlineStr">
        <is>
          <t>Nē</t>
        </is>
      </c>
      <c r="G245" s="2" t="n"/>
    </row>
    <row r="246">
      <c r="A246" s="2" t="inlineStr">
        <is>
          <t>150-5370-10H-P0555-016</t>
        </is>
      </c>
      <c r="B246" s="2" t="inlineStr">
        <is>
          <t>150-5370-10H.pdf</t>
        </is>
      </c>
      <c r="C246" s="2" t="n">
        <v>555</v>
      </c>
      <c r="D246" s="2" t="n">
        <v>16</v>
      </c>
      <c r="E246" s="2" t="inlineStr">
        <is>
          <t>The woven wire fencing shall be 7-bar, 26-inch (66 cm) field fence with top and bottom wires No.</t>
        </is>
      </c>
      <c r="F246" s="2" t="inlineStr">
        <is>
          <t>Nē</t>
        </is>
      </c>
      <c r="G246" s="2" t="n"/>
    </row>
    <row r="247">
      <c r="A247" s="2" t="inlineStr">
        <is>
          <t>150-5370-10H-P0555-017</t>
        </is>
      </c>
      <c r="B247" s="2" t="inlineStr">
        <is>
          <t>150-5370-10H.pdf</t>
        </is>
      </c>
      <c r="C247" s="2" t="n">
        <v>555</v>
      </c>
      <c r="D247" s="2" t="n">
        <v>17</v>
      </c>
      <c r="E247" s="2" t="inlineStr">
        <is>
          <t>10 gauge, and filler and stay wires No.</t>
        </is>
      </c>
      <c r="F247" s="2" t="inlineStr">
        <is>
          <t>Nē</t>
        </is>
      </c>
      <c r="G247" s="2" t="n"/>
    </row>
    <row r="248">
      <c r="A248" s="2" t="inlineStr">
        <is>
          <t>150-5370-10H-P0555-018</t>
        </is>
      </c>
      <c r="B248" s="2" t="inlineStr">
        <is>
          <t>150-5370-10H.pdf</t>
        </is>
      </c>
      <c r="C248" s="2" t="n">
        <v>555</v>
      </c>
      <c r="D248" s="2" t="n">
        <v>18</v>
      </c>
      <c r="E248" s="2" t="inlineStr">
        <is>
          <t>12-1/2 gauge.</t>
        </is>
      </c>
      <c r="F248" s="2" t="inlineStr">
        <is>
          <t>Nē</t>
        </is>
      </c>
      <c r="G248" s="2" t="n"/>
    </row>
    <row r="249">
      <c r="A249" s="2" t="inlineStr">
        <is>
          <t>150-5370-10H-P0555-019</t>
        </is>
      </c>
      <c r="B249" s="2" t="inlineStr">
        <is>
          <t>150-5370-10H.pdf</t>
        </is>
      </c>
      <c r="C249" s="2" t="n">
        <v>555</v>
      </c>
      <c r="D249" s="2" t="n">
        <v>19</v>
      </c>
      <c r="E249" s="2" t="inlineStr">
        <is>
          <t>Stay wires shall be spaced 6 inches (150 mm) apart.</t>
        </is>
      </c>
      <c r="F249" s="2" t="inlineStr">
        <is>
          <t>Nē</t>
        </is>
      </c>
      <c r="G249" s="2" t="n"/>
    </row>
    <row r="250">
      <c r="A250" s="2" t="inlineStr">
        <is>
          <t>150-5370-10H-P0555-020</t>
        </is>
      </c>
      <c r="B250" s="2" t="inlineStr">
        <is>
          <t>150-5370-10H.pdf</t>
        </is>
      </c>
      <c r="C250" s="2" t="n">
        <v>555</v>
      </c>
      <c r="D250" s="2" t="n">
        <v>20</v>
      </c>
      <c r="E250" s="2" t="inlineStr">
        <is>
          <t>All wire shall be smooth galvanized steel wire conforming to ASTM A116.</t>
        </is>
      </c>
      <c r="F250" s="2" t="inlineStr">
        <is>
          <t>Nē</t>
        </is>
      </c>
      <c r="G250" s="2" t="n"/>
    </row>
    <row r="251">
      <c r="A251" s="2" t="inlineStr">
        <is>
          <t>150-5370-10H-P0555-021</t>
        </is>
      </c>
      <c r="B251" s="2" t="inlineStr">
        <is>
          <t>150-5370-10H.pdf</t>
        </is>
      </c>
      <c r="C251" s="2" t="n">
        <v>555</v>
      </c>
      <c r="D251" s="2" t="n">
        <v>21</v>
      </c>
      <c r="E251" s="2" t="inlineStr">
        <is>
          <t>All wires shall be twice-dipped and spaced as shown on the plans.</t>
        </is>
      </c>
      <c r="F251" s="2" t="inlineStr">
        <is>
          <t>Nē</t>
        </is>
      </c>
      <c r="G251" s="2" t="n"/>
    </row>
    <row r="252">
      <c r="A252" s="2" t="inlineStr">
        <is>
          <t>150-5370-10H-P0555-022</t>
        </is>
      </c>
      <c r="B252" s="2" t="inlineStr">
        <is>
          <t>150-5370-10H.pdf</t>
        </is>
      </c>
      <c r="C252" s="2" t="n">
        <v>555</v>
      </c>
      <c r="D252" s="2" t="n">
        <v>22</v>
      </c>
      <c r="E252" s="2" t="inlineStr">
        <is>
          <t>b. Barbed wire (zinc-coated).</t>
        </is>
      </c>
      <c r="F252" s="2" t="inlineStr">
        <is>
          <t>Nē</t>
        </is>
      </c>
      <c r="G252" s="2" t="n"/>
    </row>
    <row r="253">
      <c r="A253" s="2" t="inlineStr">
        <is>
          <t>150-5370-10H-P0555-023</t>
        </is>
      </c>
      <c r="B253" s="2" t="inlineStr">
        <is>
          <t>150-5370-10H.pdf</t>
        </is>
      </c>
      <c r="C253" s="2" t="n">
        <v>555</v>
      </c>
      <c r="D253" s="2" t="n">
        <v>23</v>
      </c>
      <c r="E253" s="2" t="inlineStr">
        <is>
          <t>Zinc-coated barbed wire shall be 2-strand twisted No.</t>
        </is>
      </c>
      <c r="F253" s="2" t="inlineStr">
        <is>
          <t>Nē</t>
        </is>
      </c>
      <c r="G253" s="2" t="n"/>
    </row>
    <row r="254">
      <c r="A254" s="2" t="inlineStr">
        <is>
          <t>150-5370-10H-P0555-024</t>
        </is>
      </c>
      <c r="B254" s="2" t="inlineStr">
        <is>
          <t>150-5370-10H.pdf</t>
        </is>
      </c>
      <c r="C254" s="2" t="n">
        <v>555</v>
      </c>
      <c r="D254" s="2" t="n">
        <v>24</v>
      </c>
      <c r="E254" s="2" t="inlineStr">
        <is>
          <t>12-1/2 gauge galvanized steel wire with 4-point barbs of No.</t>
        </is>
      </c>
      <c r="F254" s="2" t="inlineStr">
        <is>
          <t>Nē</t>
        </is>
      </c>
      <c r="G254" s="2" t="n"/>
    </row>
    <row r="255">
      <c r="A255" s="2" t="inlineStr">
        <is>
          <t>150-5370-10H-P0555-025</t>
        </is>
      </c>
      <c r="B255" s="2" t="inlineStr">
        <is>
          <t>150-5370-10H.pdf</t>
        </is>
      </c>
      <c r="C255" s="2" t="n">
        <v>555</v>
      </c>
      <c r="D255" s="2" t="n">
        <v>25</v>
      </c>
      <c r="E255" s="2" t="inlineStr">
        <is>
          <t>14 gauge galvanized steel wire.</t>
        </is>
      </c>
      <c r="F255" s="2" t="inlineStr">
        <is>
          <t>Nē</t>
        </is>
      </c>
      <c r="G255" s="2" t="n"/>
    </row>
    <row r="256">
      <c r="A256" s="2" t="inlineStr">
        <is>
          <t>150-5370-10H-P0555-026</t>
        </is>
      </c>
      <c r="B256" s="2" t="inlineStr">
        <is>
          <t>150-5370-10H.pdf</t>
        </is>
      </c>
      <c r="C256" s="2" t="n">
        <v>555</v>
      </c>
      <c r="D256" s="2" t="n">
        <v>26</v>
      </c>
      <c r="E256" s="2" t="inlineStr">
        <is>
          <t>All wire shall conform to ASTM A121, Type A.</t>
        </is>
      </c>
      <c r="F256" s="2" t="inlineStr">
        <is>
          <t>Nē</t>
        </is>
      </c>
      <c r="G256" s="2" t="n"/>
    </row>
    <row r="257">
      <c r="A257" s="2" t="inlineStr">
        <is>
          <t>150-5370-10H-P0555-027</t>
        </is>
      </c>
      <c r="B257" s="2" t="inlineStr">
        <is>
          <t>150-5370-10H.pdf</t>
        </is>
      </c>
      <c r="C257" s="2" t="n">
        <v>555</v>
      </c>
      <c r="D257" s="2" t="n">
        <v>27</v>
      </c>
      <c r="E257" s="2" t="inlineStr">
        <is>
          <t>The barbs shall be spaced approximately 5 inches (125 mm) apart.</t>
        </is>
      </c>
      <c r="F257" s="2" t="inlineStr">
        <is>
          <t>Nē</t>
        </is>
      </c>
      <c r="G257" s="2" t="n"/>
    </row>
    <row r="258">
      <c r="A258" s="2" t="inlineStr">
        <is>
          <t>150-5370-10H-P0555-028</t>
        </is>
      </c>
      <c r="B258" s="2" t="inlineStr">
        <is>
          <t>150-5370-10H.pdf</t>
        </is>
      </c>
      <c r="C258" s="2" t="n">
        <v>555</v>
      </c>
      <c r="D258" s="2" t="n">
        <v>28</v>
      </c>
      <c r="E258" s="2" t="inlineStr">
        <is>
          <t>c. Barbed wire (copper-covered).</t>
        </is>
      </c>
      <c r="F258" s="2" t="inlineStr">
        <is>
          <t>Nē</t>
        </is>
      </c>
      <c r="G258" s="2" t="n"/>
    </row>
    <row r="259">
      <c r="A259" s="2" t="inlineStr">
        <is>
          <t>150-5370-10H-P0555-029</t>
        </is>
      </c>
      <c r="B259" s="2" t="inlineStr">
        <is>
          <t>150-5370-10H.pdf</t>
        </is>
      </c>
      <c r="C259" s="2" t="n">
        <v>555</v>
      </c>
      <c r="D259" s="2" t="n">
        <v>29</v>
      </c>
      <c r="E259" s="2" t="inlineStr">
        <is>
          <t>Copper-covered steel barbed wire shall conform to ASTM A121, Type A.</t>
        </is>
      </c>
      <c r="F259" s="2" t="inlineStr">
        <is>
          <t>Nē</t>
        </is>
      </c>
      <c r="G259" s="2" t="n"/>
    </row>
    <row r="260">
      <c r="A260" s="2" t="inlineStr">
        <is>
          <t>150-5370-10H-P0555-030</t>
        </is>
      </c>
      <c r="B260" s="2" t="inlineStr">
        <is>
          <t>150-5370-10H.pdf</t>
        </is>
      </c>
      <c r="C260" s="2" t="n">
        <v>555</v>
      </c>
      <c r="D260" s="2" t="n">
        <v>30</v>
      </c>
      <c r="E260" s="2" t="inlineStr">
        <is>
          <t>d. Barbed wire (aluminum-coated).</t>
        </is>
      </c>
      <c r="F260" s="2" t="inlineStr">
        <is>
          <t>Nē</t>
        </is>
      </c>
      <c r="G260" s="2" t="n"/>
    </row>
    <row r="261">
      <c r="A261" s="2" t="inlineStr">
        <is>
          <t>150-5370-10H-P0555-031</t>
        </is>
      </c>
      <c r="B261" s="2" t="inlineStr">
        <is>
          <t>150-5370-10H.pdf</t>
        </is>
      </c>
      <c r="C261" s="2" t="n">
        <v>555</v>
      </c>
      <c r="D261" s="2" t="n">
        <v>31</v>
      </c>
      <c r="E261" s="2" t="inlineStr">
        <is>
          <t>Aluminum-coated steel barbed wire shall be 2-strand twisted No.</t>
        </is>
      </c>
      <c r="F261" s="2" t="inlineStr">
        <is>
          <t>Nē</t>
        </is>
      </c>
      <c r="G261" s="2" t="n"/>
    </row>
    <row r="262">
      <c r="A262" s="2" t="inlineStr">
        <is>
          <t>150-5370-10H-P0555-032</t>
        </is>
      </c>
      <c r="B262" s="2" t="inlineStr">
        <is>
          <t>150-5370-10H.pdf</t>
        </is>
      </c>
      <c r="C262" s="2" t="n">
        <v>555</v>
      </c>
      <c r="D262" s="2" t="n">
        <v>32</v>
      </c>
      <c r="E262" s="2" t="inlineStr">
        <is>
          <t>The 4-point barbs of No.</t>
        </is>
      </c>
      <c r="F262" s="2" t="inlineStr">
        <is>
          <t>Nē</t>
        </is>
      </c>
      <c r="G262" s="2" t="n"/>
    </row>
    <row r="263">
      <c r="A263" s="2" t="inlineStr">
        <is>
          <t>150-5370-10H-P0555-033</t>
        </is>
      </c>
      <c r="B263" s="2" t="inlineStr">
        <is>
          <t>150-5370-10H.pdf</t>
        </is>
      </c>
      <c r="C263" s="2" t="n">
        <v>555</v>
      </c>
      <c r="D263" s="2" t="n">
        <v>33</v>
      </c>
      <c r="E263" s="2" t="inlineStr">
        <is>
          <t>14 gauge aluminum-coated steel wire shall be spaced approximately 5 inches (125 mm) apart.</t>
        </is>
      </c>
      <c r="F263" s="2" t="inlineStr">
        <is>
          <t>Nē</t>
        </is>
      </c>
      <c r="G263" s="2" t="n"/>
    </row>
    <row r="264">
      <c r="A264" s="2" t="inlineStr">
        <is>
          <t>150-5370-10H-P0555-034</t>
        </is>
      </c>
      <c r="B264" s="2" t="inlineStr">
        <is>
          <t>150-5370-10H.pdf</t>
        </is>
      </c>
      <c r="C264" s="2" t="n">
        <v>555</v>
      </c>
      <c r="D264" s="2" t="n">
        <v>34</v>
      </c>
      <c r="E264" s="2" t="inlineStr">
        <is>
          <t>The steel wire shall have a tensile strength of between 60,000 and 80,000 pounds per square inch (413 400 and 551 200 kPa) and the aluminum coating shall have a</t>
        </is>
      </c>
      <c r="F264" s="2" t="inlineStr">
        <is>
          <t>Nē</t>
        </is>
      </c>
      <c r="G264" s="2" t="n"/>
    </row>
    <row r="265">
      <c r="A265" s="2" t="inlineStr">
        <is>
          <t>150-5370-10H-P0555-035</t>
        </is>
      </c>
      <c r="B265" s="2" t="inlineStr">
        <is>
          <t>150-5370-10H.pdf</t>
        </is>
      </c>
      <c r="C265" s="2" t="n">
        <v>555</v>
      </c>
      <c r="D265" s="2" t="n">
        <v>35</v>
      </c>
      <c r="E265" s="2" t="inlineStr">
        <is>
          <t>Item F-161 Wire Fence with Steel Posts (Class C and D Fence) 547</t>
        </is>
      </c>
      <c r="F265" s="2" t="inlineStr">
        <is>
          <t>Nē</t>
        </is>
      </c>
      <c r="G265" s="2" t="n"/>
    </row>
    <row r="266">
      <c r="A266" s="2" t="inlineStr">
        <is>
          <t>150-5370-10H-P0575-001</t>
        </is>
      </c>
      <c r="B266" s="2" t="inlineStr">
        <is>
          <t>150-5370-10H.pdf</t>
        </is>
      </c>
      <c r="C266" s="2" t="n">
        <v>575</v>
      </c>
      <c r="D266" s="2" t="n">
        <v>1</v>
      </c>
      <c r="E266" s="2" t="inlineStr">
        <is>
          <t>12/21/2018 AC 150/5370-10H</t>
        </is>
      </c>
      <c r="F266" s="2" t="inlineStr">
        <is>
          <t>Nē</t>
        </is>
      </c>
      <c r="G266" s="2" t="n"/>
    </row>
    <row r="267">
      <c r="A267" s="2" t="inlineStr">
        <is>
          <t>150-5370-10H-P0575-002</t>
        </is>
      </c>
      <c r="B267" s="2" t="inlineStr">
        <is>
          <t>150-5370-10H.pdf</t>
        </is>
      </c>
      <c r="C267" s="2" t="n">
        <v>575</v>
      </c>
      <c r="D267" s="2" t="n">
        <v>2</v>
      </c>
      <c r="E267" s="2" t="inlineStr">
        <is>
          <t>a. Species.</t>
        </is>
      </c>
      <c r="F267" s="2" t="inlineStr">
        <is>
          <t>Nē</t>
        </is>
      </c>
      <c r="G267" s="2" t="n"/>
    </row>
    <row r="268">
      <c r="A268" s="2" t="inlineStr">
        <is>
          <t>150-5370-10H-P0575-003</t>
        </is>
      </c>
      <c r="B268" s="2" t="inlineStr">
        <is>
          <t>150-5370-10H.pdf</t>
        </is>
      </c>
      <c r="C268" s="2" t="n">
        <v>575</v>
      </c>
      <c r="D268" s="2" t="n">
        <v>3</v>
      </c>
      <c r="E268" s="2" t="inlineStr">
        <is>
          <t>All posts shall be one of the following species of wood, unless otherwise noted in the proposal.</t>
        </is>
      </c>
      <c r="F268" s="2" t="inlineStr">
        <is>
          <t>Nē</t>
        </is>
      </c>
      <c r="G268" s="2" t="n"/>
    </row>
    <row r="269">
      <c r="A269" s="2" t="inlineStr">
        <is>
          <t>150-5370-10H-P0575-004</t>
        </is>
      </c>
      <c r="B269" s="2" t="inlineStr">
        <is>
          <t>150-5370-10H.pdf</t>
        </is>
      </c>
      <c r="C269" s="2" t="n">
        <v>575</v>
      </c>
      <c r="D269" s="2" t="n">
        <v>4</v>
      </c>
      <c r="E269" s="2" t="inlineStr">
        <is>
          <t>Wood Species</t>
        </is>
      </c>
      <c r="F269" s="2" t="inlineStr">
        <is>
          <t>Nē</t>
        </is>
      </c>
      <c r="G269" s="2" t="n"/>
    </row>
    <row r="270">
      <c r="A270" s="2" t="inlineStr">
        <is>
          <t>150-5370-10H-P0575-005</t>
        </is>
      </c>
      <c r="B270" s="2" t="inlineStr">
        <is>
          <t>150-5370-10H.pdf</t>
        </is>
      </c>
      <c r="C270" s="2" t="n">
        <v>575</v>
      </c>
      <c r="D270" s="2" t="n">
        <v>5</v>
      </c>
      <c r="E270" s="2" t="inlineStr">
        <is>
          <t>Group I Group II</t>
        </is>
      </c>
      <c r="F270" s="2" t="inlineStr">
        <is>
          <t>Nē</t>
        </is>
      </c>
      <c r="G270" s="2" t="n"/>
    </row>
    <row r="271">
      <c r="A271" s="2" t="inlineStr">
        <is>
          <t>150-5370-10H-P0575-006</t>
        </is>
      </c>
      <c r="B271" s="2" t="inlineStr">
        <is>
          <t>150-5370-10H.pdf</t>
        </is>
      </c>
      <c r="C271" s="2" t="n">
        <v>575</v>
      </c>
      <c r="D271" s="2" t="n">
        <v>6</v>
      </c>
      <c r="E271" s="2" t="inlineStr">
        <is>
          <t>Cedar Douglas-fir</t>
        </is>
      </c>
      <c r="F271" s="2" t="inlineStr">
        <is>
          <t>Nē</t>
        </is>
      </c>
      <c r="G271" s="2" t="n"/>
    </row>
    <row r="272">
      <c r="A272" s="2" t="inlineStr">
        <is>
          <t>150-5370-10H-P0575-007</t>
        </is>
      </c>
      <c r="B272" s="2" t="inlineStr">
        <is>
          <t>150-5370-10H.pdf</t>
        </is>
      </c>
      <c r="C272" s="2" t="n">
        <v>575</v>
      </c>
      <c r="D272" s="2" t="n">
        <v>7</v>
      </c>
      <c r="E272" s="2" t="inlineStr">
        <is>
          <t>Chestnut Gum, Red</t>
        </is>
      </c>
      <c r="F272" s="2" t="inlineStr">
        <is>
          <t>Nē</t>
        </is>
      </c>
      <c r="G272" s="2" t="n"/>
    </row>
    <row r="273">
      <c r="A273" s="2" t="inlineStr">
        <is>
          <t>150-5370-10H-P0575-008</t>
        </is>
      </c>
      <c r="B273" s="2" t="inlineStr">
        <is>
          <t>150-5370-10H.pdf</t>
        </is>
      </c>
      <c r="C273" s="2" t="n">
        <v>575</v>
      </c>
      <c r="D273" s="2" t="n">
        <v>8</v>
      </c>
      <c r="E273" s="2" t="inlineStr">
        <is>
          <t>Cypress, Southern Larch, Western</t>
        </is>
      </c>
      <c r="F273" s="2" t="inlineStr">
        <is>
          <t>Nē</t>
        </is>
      </c>
      <c r="G273" s="2" t="n"/>
    </row>
    <row r="274">
      <c r="A274" s="2" t="inlineStr">
        <is>
          <t>150-5370-10H-P0575-009</t>
        </is>
      </c>
      <c r="B274" s="2" t="inlineStr">
        <is>
          <t>150-5370-10H.pdf</t>
        </is>
      </c>
      <c r="C274" s="2" t="n">
        <v>575</v>
      </c>
      <c r="D274" s="2" t="n">
        <v>9</v>
      </c>
      <c r="E274" s="2" t="inlineStr">
        <is>
          <t>Locust, Black Pine, Southern Yellow</t>
        </is>
      </c>
      <c r="F274" s="2" t="inlineStr">
        <is>
          <t>Nē</t>
        </is>
      </c>
      <c r="G274" s="2" t="n"/>
    </row>
    <row r="275">
      <c r="A275" s="2" t="inlineStr">
        <is>
          <t>150-5370-10H-P0575-010</t>
        </is>
      </c>
      <c r="B275" s="2" t="inlineStr">
        <is>
          <t>150-5370-10H.pdf</t>
        </is>
      </c>
      <c r="C275" s="2" t="n">
        <v>575</v>
      </c>
      <c r="D275" s="2" t="n">
        <v>10</v>
      </c>
      <c r="E275" s="2" t="inlineStr">
        <is>
          <t>Osage-orange Pine, Lodgepole</t>
        </is>
      </c>
      <c r="F275" s="2" t="inlineStr">
        <is>
          <t>Nē</t>
        </is>
      </c>
      <c r="G275" s="2" t="n"/>
    </row>
    <row r="276">
      <c r="A276" s="2" t="inlineStr">
        <is>
          <t>150-5370-10H-P0575-011</t>
        </is>
      </c>
      <c r="B276" s="2" t="inlineStr">
        <is>
          <t>150-5370-10H.pdf</t>
        </is>
      </c>
      <c r="C276" s="2" t="n">
        <v>575</v>
      </c>
      <c r="D276" s="2" t="n">
        <v>11</v>
      </c>
      <c r="E276" s="2" t="inlineStr">
        <is>
          <t>Redwood Tamarack</t>
        </is>
      </c>
      <c r="F276" s="2" t="inlineStr">
        <is>
          <t>Nē</t>
        </is>
      </c>
      <c r="G276" s="2" t="n"/>
    </row>
    <row r="277">
      <c r="A277" s="2" t="inlineStr">
        <is>
          <t>150-5370-10H-P0575-012</t>
        </is>
      </c>
      <c r="B277" s="2" t="inlineStr">
        <is>
          <t>150-5370-10H.pdf</t>
        </is>
      </c>
      <c r="C277" s="2" t="n">
        <v>575</v>
      </c>
      <c r="D277" s="2" t="n">
        <v>12</v>
      </c>
      <c r="E277" s="2" t="inlineStr">
        <is>
          <t>Yew, Pacific Ash</t>
        </is>
      </c>
      <c r="F277" s="2" t="inlineStr">
        <is>
          <t>Nē</t>
        </is>
      </c>
      <c r="G277" s="2" t="n"/>
    </row>
    <row r="278">
      <c r="A278" s="2" t="inlineStr">
        <is>
          <t>150-5370-10H-P0575-013</t>
        </is>
      </c>
      <c r="B278" s="2" t="inlineStr">
        <is>
          <t>150-5370-10H.pdf</t>
        </is>
      </c>
      <c r="C278" s="2" t="n">
        <v>575</v>
      </c>
      <c r="D278" s="2" t="n">
        <v>13</v>
      </c>
      <c r="E278" s="2" t="inlineStr">
        <is>
          <t>Honey locust Maple, Sugar</t>
        </is>
      </c>
      <c r="F278" s="2" t="inlineStr">
        <is>
          <t>Nē</t>
        </is>
      </c>
      <c r="G278" s="2" t="n"/>
    </row>
    <row r="279">
      <c r="A279" s="2" t="inlineStr">
        <is>
          <t>150-5370-10H-P0575-014</t>
        </is>
      </c>
      <c r="B279" s="2" t="inlineStr">
        <is>
          <t>150-5370-10H.pdf</t>
        </is>
      </c>
      <c r="C279" s="2" t="n">
        <v>575</v>
      </c>
      <c r="D279" s="2" t="n">
        <v>14</v>
      </c>
      <c r="E279" s="2" t="inlineStr">
        <is>
          <t>Oak, White Oak, Red</t>
        </is>
      </c>
      <c r="F279" s="2" t="inlineStr">
        <is>
          <t>Nē</t>
        </is>
      </c>
      <c r="G279" s="2" t="n"/>
    </row>
    <row r="280">
      <c r="A280" s="2" t="inlineStr">
        <is>
          <t>150-5370-10H-P0575-015</t>
        </is>
      </c>
      <c r="B280" s="2" t="inlineStr">
        <is>
          <t>150-5370-10H.pdf</t>
        </is>
      </c>
      <c r="C280" s="2" t="n">
        <v>575</v>
      </c>
      <c r="D280" s="2" t="n">
        <v>15</v>
      </c>
      <c r="E280" s="2" t="inlineStr">
        <is>
          <t>Mulberry Spruce</t>
        </is>
      </c>
      <c r="F280" s="2" t="inlineStr">
        <is>
          <t>Nē</t>
        </is>
      </c>
      <c r="G280" s="2" t="n"/>
    </row>
    <row r="281">
      <c r="A281" s="2" t="inlineStr">
        <is>
          <t>150-5370-10H-P0575-016</t>
        </is>
      </c>
      <c r="B281" s="2" t="inlineStr">
        <is>
          <t>150-5370-10H.pdf</t>
        </is>
      </c>
      <c r="C281" s="2" t="n">
        <v>575</v>
      </c>
      <c r="D281" s="2" t="n">
        <v>16</v>
      </c>
      <c r="E281" s="2" t="inlineStr">
        <is>
          <t>Live Oak</t>
        </is>
      </c>
      <c r="F281" s="2" t="inlineStr">
        <is>
          <t>Nē</t>
        </is>
      </c>
      <c r="G281" s="2" t="n"/>
    </row>
    <row r="282">
      <c r="A282" s="2" t="inlineStr">
        <is>
          <t>150-5370-10H-P0575-017</t>
        </is>
      </c>
      <c r="B282" s="2" t="inlineStr">
        <is>
          <t>150-5370-10H.pdf</t>
        </is>
      </c>
      <c r="C282" s="2" t="n">
        <v>575</v>
      </c>
      <c r="D282" s="2" t="n">
        <v>17</v>
      </c>
      <c r="E282" s="2" t="inlineStr">
        <is>
          <t>Posts of Group I may be used untreated, provided at least 75% of the wood is heartwood.</t>
        </is>
      </c>
      <c r="F282" s="2" t="inlineStr">
        <is>
          <t>Nē</t>
        </is>
      </c>
      <c r="G282" s="2" t="n"/>
    </row>
    <row r="283">
      <c r="A283" s="2" t="inlineStr">
        <is>
          <t>150-5370-10H-P0575-018</t>
        </is>
      </c>
      <c r="B283" s="2" t="inlineStr">
        <is>
          <t>150-5370-10H.pdf</t>
        </is>
      </c>
      <c r="C283" s="2" t="n">
        <v>575</v>
      </c>
      <c r="D283" s="2" t="n">
        <v>18</v>
      </c>
      <c r="E283" s="2" t="inlineStr">
        <is>
          <t>Posts of less than 75% heartwood of Group I shall be given a preservative treatment for the part of the post that will have contact with the ground line in accordance with the method specified under paragraph 164-2.3e butt treatment below.</t>
        </is>
      </c>
      <c r="F283" s="2" t="inlineStr">
        <is>
          <t>Nē</t>
        </is>
      </c>
      <c r="G283" s="2" t="n"/>
    </row>
    <row r="284">
      <c r="A284" s="2" t="inlineStr">
        <is>
          <t>150-5370-10H-P0575-019</t>
        </is>
      </c>
      <c r="B284" s="2" t="inlineStr">
        <is>
          <t>150-5370-10H.pdf</t>
        </is>
      </c>
      <c r="C284" s="2" t="n">
        <v>575</v>
      </c>
      <c r="D284" s="2" t="n">
        <v>19</v>
      </c>
      <c r="E284" s="2" t="inlineStr">
        <is>
          <t>Posts of Group II shall be given a preservative treatment in accordance with the method specified under paragraph 164-2.3e full length treatment below.</t>
        </is>
      </c>
      <c r="F284" s="2" t="inlineStr">
        <is>
          <t>Nē</t>
        </is>
      </c>
      <c r="G284" s="2" t="n"/>
    </row>
    <row r="285">
      <c r="A285" s="2" t="inlineStr">
        <is>
          <t>150-5370-10H-P0575-020</t>
        </is>
      </c>
      <c r="B285" s="2" t="inlineStr">
        <is>
          <t>150-5370-10H.pdf</t>
        </is>
      </c>
      <c r="C285" s="2" t="n">
        <v>575</v>
      </c>
      <c r="D285" s="2" t="n">
        <v>20</v>
      </c>
      <c r="E285" s="2" t="inlineStr">
        <is>
          <t>b. Quality.</t>
        </is>
      </c>
      <c r="F285" s="2" t="inlineStr">
        <is>
          <t>Nē</t>
        </is>
      </c>
      <c r="G285" s="2" t="n"/>
    </row>
    <row r="286">
      <c r="A286" s="2" t="inlineStr">
        <is>
          <t>150-5370-10H-P0575-021</t>
        </is>
      </c>
      <c r="B286" s="2" t="inlineStr">
        <is>
          <t>150-5370-10H.pdf</t>
        </is>
      </c>
      <c r="C286" s="2" t="n">
        <v>575</v>
      </c>
      <c r="D286" s="2" t="n">
        <v>21</v>
      </c>
      <c r="E286" s="2" t="inlineStr">
        <is>
          <t>Posts shall be peeled, sound, straight-grained, free from decay, cracks, and splits.</t>
        </is>
      </c>
      <c r="F286" s="2" t="inlineStr">
        <is>
          <t>Nē</t>
        </is>
      </c>
      <c r="G286" s="2" t="n"/>
    </row>
    <row r="287">
      <c r="A287" s="2" t="inlineStr">
        <is>
          <t>150-5370-10H-P0575-022</t>
        </is>
      </c>
      <c r="B287" s="2" t="inlineStr">
        <is>
          <t>150-5370-10H.pdf</t>
        </is>
      </c>
      <c r="C287" s="2" t="n">
        <v>575</v>
      </c>
      <c r="D287" s="2" t="n">
        <v>22</v>
      </c>
      <c r="E287" s="2" t="inlineStr">
        <is>
          <t>Shakes shall not be in excess of 1/4inch (6 mm) wide and 3 feet (1 m) long.</t>
        </is>
      </c>
      <c r="F287" s="2" t="inlineStr">
        <is>
          <t>Nē</t>
        </is>
      </c>
      <c r="G287" s="2" t="n"/>
    </row>
    <row r="288">
      <c r="A288" s="2" t="inlineStr">
        <is>
          <t>150-5370-10H-P0575-023</t>
        </is>
      </c>
      <c r="B288" s="2" t="inlineStr">
        <is>
          <t>150-5370-10H.pdf</t>
        </is>
      </c>
      <c r="C288" s="2" t="n">
        <v>575</v>
      </c>
      <c r="D288" s="2" t="n">
        <v>23</v>
      </c>
      <c r="E288" s="2" t="inlineStr">
        <is>
          <t>Checks (lengthwise separations of the wood in a generally radial direction) are permitted, provided they are not harmful.</t>
        </is>
      </c>
      <c r="F288" s="2" t="inlineStr">
        <is>
          <t>Nē</t>
        </is>
      </c>
      <c r="G288" s="2" t="n"/>
    </row>
    <row r="289">
      <c r="A289" s="2" t="inlineStr">
        <is>
          <t>150-5370-10H-P0575-024</t>
        </is>
      </c>
      <c r="B289" s="2" t="inlineStr">
        <is>
          <t>150-5370-10H.pdf</t>
        </is>
      </c>
      <c r="C289" s="2" t="n">
        <v>575</v>
      </c>
      <c r="D289" s="2" t="n">
        <v>24</v>
      </c>
      <c r="E289" s="2" t="inlineStr">
        <is>
          <t>c. Dimensions.</t>
        </is>
      </c>
      <c r="F289" s="2" t="inlineStr">
        <is>
          <t>Nē</t>
        </is>
      </c>
      <c r="G289" s="2" t="n"/>
    </row>
    <row r="290">
      <c r="A290" s="2" t="inlineStr">
        <is>
          <t>150-5370-10H-P0575-025</t>
        </is>
      </c>
      <c r="B290" s="2" t="inlineStr">
        <is>
          <t>150-5370-10H.pdf</t>
        </is>
      </c>
      <c r="C290" s="2" t="n">
        <v>575</v>
      </c>
      <c r="D290" s="2" t="n">
        <v>25</v>
      </c>
      <c r="E290" s="2" t="inlineStr">
        <is>
          <t>All posts shall be the length shown on the plans.</t>
        </is>
      </c>
      <c r="F290" s="2" t="inlineStr">
        <is>
          <t>Nē</t>
        </is>
      </c>
      <c r="G290" s="2" t="n"/>
    </row>
    <row r="291">
      <c r="A291" s="2" t="inlineStr">
        <is>
          <t>150-5370-10H-P0575-026</t>
        </is>
      </c>
      <c r="B291" s="2" t="inlineStr">
        <is>
          <t>150-5370-10H.pdf</t>
        </is>
      </c>
      <c r="C291" s="2" t="n">
        <v>575</v>
      </c>
      <c r="D291" s="2" t="n">
        <v>26</v>
      </c>
      <c r="E291" s="2" t="inlineStr">
        <is>
          <t>Posts shall have the minimum top diameters shown on the plans or as specified.</t>
        </is>
      </c>
      <c r="F291" s="2" t="inlineStr">
        <is>
          <t>Nē</t>
        </is>
      </c>
      <c r="G291" s="2" t="n"/>
    </row>
    <row r="292">
      <c r="A292" s="2" t="inlineStr">
        <is>
          <t>150-5370-10H-P0575-027</t>
        </is>
      </c>
      <c r="B292" s="2" t="inlineStr">
        <is>
          <t>150-5370-10H.pdf</t>
        </is>
      </c>
      <c r="C292" s="2" t="n">
        <v>575</v>
      </c>
      <c r="D292" s="2" t="n">
        <v>27</v>
      </c>
      <c r="E292" s="2" t="inlineStr">
        <is>
          <t>Sawn and split posts are acceptable instead of round posts if the required diameter round posts could be turned from the sawn/split posts.</t>
        </is>
      </c>
      <c r="F292" s="2" t="inlineStr">
        <is>
          <t>Nē</t>
        </is>
      </c>
      <c r="G292" s="2" t="n"/>
    </row>
    <row r="293">
      <c r="A293" s="2" t="inlineStr">
        <is>
          <t>150-5370-10H-P0575-028</t>
        </is>
      </c>
      <c r="B293" s="2" t="inlineStr">
        <is>
          <t>150-5370-10H.pdf</t>
        </is>
      </c>
      <c r="C293" s="2" t="n">
        <v>575</v>
      </c>
      <c r="D293" s="2" t="n">
        <v>28</v>
      </c>
      <c r="E293" s="2" t="inlineStr">
        <is>
          <t>d. Manufacture.</t>
        </is>
      </c>
      <c r="F293" s="2" t="inlineStr">
        <is>
          <t>Nē</t>
        </is>
      </c>
      <c r="G293" s="2" t="n"/>
    </row>
    <row r="294">
      <c r="A294" s="2" t="inlineStr">
        <is>
          <t>150-5370-10H-P0575-029</t>
        </is>
      </c>
      <c r="B294" s="2" t="inlineStr">
        <is>
          <t>150-5370-10H.pdf</t>
        </is>
      </c>
      <c r="C294" s="2" t="n">
        <v>575</v>
      </c>
      <c r="D294" s="2" t="n">
        <v>29</v>
      </c>
      <c r="E294" s="2" t="inlineStr">
        <is>
          <t>Outer bark shall be completely removed from all posts including depressions.</t>
        </is>
      </c>
      <c r="F294" s="2" t="inlineStr">
        <is>
          <t>Nē</t>
        </is>
      </c>
      <c r="G294" s="2" t="n"/>
    </row>
    <row r="295">
      <c r="A295" s="2" t="inlineStr">
        <is>
          <t>150-5370-10H-P0575-030</t>
        </is>
      </c>
      <c r="B295" s="2" t="inlineStr">
        <is>
          <t>150-5370-10H.pdf</t>
        </is>
      </c>
      <c r="C295" s="2" t="n">
        <v>575</v>
      </c>
      <c r="D295" s="2" t="n">
        <v>30</v>
      </c>
      <c r="E295" s="2" t="inlineStr">
        <is>
          <t>Inner bark shall be removed from all post surfaces to be treated, except inner bark may remain in depressions.</t>
        </is>
      </c>
      <c r="F295" s="2" t="inlineStr">
        <is>
          <t>Nē</t>
        </is>
      </c>
      <c r="G295" s="2" t="n"/>
    </row>
    <row r="296">
      <c r="A296" s="2" t="inlineStr">
        <is>
          <t>150-5370-10H-P0575-031</t>
        </is>
      </c>
      <c r="B296" s="2" t="inlineStr">
        <is>
          <t>150-5370-10H.pdf</t>
        </is>
      </c>
      <c r="C296" s="2" t="n">
        <v>575</v>
      </c>
      <c r="D296" s="2" t="n">
        <v>31</v>
      </c>
      <c r="E296" s="2" t="inlineStr">
        <is>
          <t>The amount of wood shaved off in the removal of inner bark shall be held to a minimum.</t>
        </is>
      </c>
      <c r="F296" s="2" t="inlineStr">
        <is>
          <t>Nē</t>
        </is>
      </c>
      <c r="G296" s="2" t="n"/>
    </row>
    <row r="297">
      <c r="A297" s="2" t="inlineStr">
        <is>
          <t>150-5370-10H-P0575-032</t>
        </is>
      </c>
      <c r="B297" s="2" t="inlineStr">
        <is>
          <t>150-5370-10H.pdf</t>
        </is>
      </c>
      <c r="C297" s="2" t="n">
        <v>575</v>
      </c>
      <c r="D297" s="2" t="n">
        <v>32</v>
      </c>
      <c r="E297" s="2" t="inlineStr">
        <is>
          <t>e. Treatment.</t>
        </is>
      </c>
      <c r="F297" s="2" t="inlineStr">
        <is>
          <t>Nē</t>
        </is>
      </c>
      <c r="G297" s="2" t="n"/>
    </row>
    <row r="298">
      <c r="A298" s="2" t="inlineStr">
        <is>
          <t>150-5370-10H-P0575-033</t>
        </is>
      </c>
      <c r="B298" s="2" t="inlineStr">
        <is>
          <t>150-5370-10H.pdf</t>
        </is>
      </c>
      <c r="C298" s="2" t="n">
        <v>575</v>
      </c>
      <c r="D298" s="2" t="n">
        <v>33</v>
      </c>
      <c r="E298" s="2" t="inlineStr">
        <is>
          <t>Posts shall be conditioned by air seasoning, steaming, or heating in oil in a manner that prevents injurious checking, splitting, or warping before treating.</t>
        </is>
      </c>
      <c r="F298" s="2" t="inlineStr">
        <is>
          <t>Nē</t>
        </is>
      </c>
      <c r="G298" s="2" t="n"/>
    </row>
    <row r="299">
      <c r="A299" s="2" t="inlineStr">
        <is>
          <t>150-5370-10H-P0575-034</t>
        </is>
      </c>
      <c r="B299" s="2" t="inlineStr">
        <is>
          <t>150-5370-10H.pdf</t>
        </is>
      </c>
      <c r="C299" s="2" t="n">
        <v>575</v>
      </c>
      <c r="D299" s="2" t="n">
        <v>34</v>
      </c>
      <c r="E299" s="2" t="inlineStr">
        <is>
          <t>All timber shall be thoroughly seasoned and dry (22% maximum moisture content) before applying preservative treatment.</t>
        </is>
      </c>
      <c r="F299" s="2" t="inlineStr">
        <is>
          <t>Nē</t>
        </is>
      </c>
      <c r="G299" s="2" t="n"/>
    </row>
    <row r="300">
      <c r="A300" s="2" t="inlineStr">
        <is>
          <t>150-5370-10H-P0575-035</t>
        </is>
      </c>
      <c r="B300" s="2" t="inlineStr">
        <is>
          <t>150-5370-10H.pdf</t>
        </is>
      </c>
      <c r="C300" s="2" t="n">
        <v>575</v>
      </c>
      <c r="D300" s="2" t="n">
        <v>35</v>
      </c>
      <c r="E300" s="2" t="inlineStr">
        <is>
          <t>The treatment, care and preservative shall be</t>
        </is>
      </c>
      <c r="F300" s="2" t="inlineStr">
        <is>
          <t>Nē</t>
        </is>
      </c>
      <c r="G300" s="2" t="n"/>
    </row>
    <row r="301">
      <c r="A301" s="2" t="inlineStr">
        <is>
          <t>150-5370-10H-P0575-036</t>
        </is>
      </c>
      <c r="B301" s="2" t="inlineStr">
        <is>
          <t>150-5370-10H.pdf</t>
        </is>
      </c>
      <c r="C301" s="2" t="n">
        <v>575</v>
      </c>
      <c r="D301" s="2" t="n">
        <v>36</v>
      </c>
      <c r="E301" s="2" t="inlineStr">
        <is>
          <t>Item F-164 Wildlife Exclusion Fence 567</t>
        </is>
      </c>
      <c r="F301" s="2" t="inlineStr">
        <is>
          <t>Nē</t>
        </is>
      </c>
      <c r="G301" s="2" t="n"/>
    </row>
    <row r="302">
      <c r="A302" s="2" t="inlineStr">
        <is>
          <t>150-5370-10H-P0590-001</t>
        </is>
      </c>
      <c r="B302" s="2" t="inlineStr">
        <is>
          <t>150-5370-10H.pdf</t>
        </is>
      </c>
      <c r="C302" s="2" t="n">
        <v>590</v>
      </c>
      <c r="D302" s="2" t="n">
        <v>1</v>
      </c>
      <c r="E302" s="2" t="inlineStr">
        <is>
          <t>12/21/2018 AC 150/5370-10H</t>
        </is>
      </c>
      <c r="F302" s="2" t="inlineStr">
        <is>
          <t>Nē</t>
        </is>
      </c>
      <c r="G302" s="2" t="n"/>
    </row>
    <row r="303">
      <c r="A303" s="2" t="inlineStr">
        <is>
          <t>150-5370-10H-P0590-002</t>
        </is>
      </c>
      <c r="B303" s="2" t="inlineStr">
        <is>
          <t>150-5370-10H.pdf</t>
        </is>
      </c>
      <c r="C303" s="2" t="n">
        <v>590</v>
      </c>
      <c r="D303" s="2" t="n">
        <v>2</v>
      </c>
      <c r="E303" s="2" t="inlineStr">
        <is>
          <t>701-3.7 Inspection Requirements</t>
        </is>
      </c>
      <c r="F303" s="2" t="inlineStr">
        <is>
          <t>Nē</t>
        </is>
      </c>
      <c r="G303" s="2" t="n"/>
    </row>
    <row r="304">
      <c r="A304" s="2" t="inlineStr">
        <is>
          <t>150-5370-10H-P0590-003</t>
        </is>
      </c>
      <c r="B304" s="2" t="inlineStr">
        <is>
          <t>150-5370-10H.pdf</t>
        </is>
      </c>
      <c r="C304" s="2" t="n">
        <v>590</v>
      </c>
      <c r="D304" s="2" t="n">
        <v>3</v>
      </c>
      <c r="E304" s="2" t="inlineStr">
        <is>
          <t>An initial post installation inspection shall be performed by the RPR no sooner than 30 days after completion of installation and final backfill.</t>
        </is>
      </c>
      <c r="F304" s="2" t="inlineStr">
        <is>
          <t>Nē</t>
        </is>
      </c>
      <c r="G304" s="2" t="n"/>
    </row>
    <row r="305">
      <c r="A305" s="2" t="inlineStr">
        <is>
          <t>150-5370-10H-P0590-004</t>
        </is>
      </c>
      <c r="B305" s="2" t="inlineStr">
        <is>
          <t>150-5370-10H.pdf</t>
        </is>
      </c>
      <c r="C305" s="2" t="n">
        <v>590</v>
      </c>
      <c r="D305" s="2" t="n">
        <v>4</v>
      </c>
      <c r="E305" s="2" t="inlineStr">
        <is>
          <t>Clean or flush all lines prior to inspection.</t>
        </is>
      </c>
      <c r="F305" s="2" t="inlineStr">
        <is>
          <t>Nē</t>
        </is>
      </c>
      <c r="G305" s="2" t="n"/>
    </row>
    <row r="306">
      <c r="A306" s="2" t="inlineStr">
        <is>
          <t>150-5370-10H-P0590-005</t>
        </is>
      </c>
      <c r="B306" s="2" t="inlineStr">
        <is>
          <t>150-5370-10H.pdf</t>
        </is>
      </c>
      <c r="C306" s="2" t="n">
        <v>590</v>
      </c>
      <c r="D306" s="2" t="n">
        <v>5</v>
      </c>
      <c r="E306" s="2" t="inlineStr">
        <is>
          <t>[ Use a camera with lighting suitable to allow a clear picture of the entire periphery of the pipe interior.</t>
        </is>
      </c>
      <c r="F306" s="2" t="inlineStr">
        <is>
          <t>Nē</t>
        </is>
      </c>
      <c r="G306" s="2" t="n"/>
    </row>
    <row r="307">
      <c r="A307" s="2" t="inlineStr">
        <is>
          <t>150-5370-10H-P0590-006</t>
        </is>
      </c>
      <c r="B307" s="2" t="inlineStr">
        <is>
          <t>150-5370-10H.pdf</t>
        </is>
      </c>
      <c r="C307" s="2" t="n">
        <v>590</v>
      </c>
      <c r="D307" s="2" t="n">
        <v>6</v>
      </c>
      <c r="E307" s="2" t="inlineStr">
        <is>
          <t>Center the camera in the pipe both vertically and horizontally and be able to pan and tilt to a 90 degree angle with the axis of the pipe rotating 360 degrees.</t>
        </is>
      </c>
      <c r="F307" s="2" t="inlineStr">
        <is>
          <t>Nē</t>
        </is>
      </c>
      <c r="G307" s="2" t="n"/>
    </row>
    <row r="308">
      <c r="A308" s="2" t="inlineStr">
        <is>
          <t>150-5370-10H-P0590-007</t>
        </is>
      </c>
      <c r="B308" s="2" t="inlineStr">
        <is>
          <t>150-5370-10H.pdf</t>
        </is>
      </c>
      <c r="C308" s="2" t="n">
        <v>590</v>
      </c>
      <c r="D308" s="2" t="n">
        <v>7</v>
      </c>
      <c r="E308" s="2" t="inlineStr">
        <is>
          <t>Use equipment to move the camera through the pipe that will not obstruct the camera’s view or interfere with proper documentation of the pipe’s condition.</t>
        </is>
      </c>
      <c r="F308" s="2" t="inlineStr">
        <is>
          <t>Nē</t>
        </is>
      </c>
      <c r="G308" s="2" t="n"/>
    </row>
    <row r="309">
      <c r="A309" s="2" t="inlineStr">
        <is>
          <t>150-5370-10H-P0590-008</t>
        </is>
      </c>
      <c r="B309" s="2" t="inlineStr">
        <is>
          <t>150-5370-10H.pdf</t>
        </is>
      </c>
      <c r="C309" s="2" t="n">
        <v>590</v>
      </c>
      <c r="D309" s="2" t="n">
        <v>8</v>
      </c>
      <c r="E309" s="2" t="inlineStr">
        <is>
          <t>The video image shall be clear, focused, and relatively free from roll, static, or other image distortion qualities that would prevent the reviewer from evaluating the condition of the pipe. ]</t>
        </is>
      </c>
      <c r="F309" s="2" t="inlineStr">
        <is>
          <t>Nē</t>
        </is>
      </c>
      <c r="G309" s="2" t="n"/>
    </row>
    <row r="310">
      <c r="A310" s="2" t="inlineStr">
        <is>
          <t>150-5370-10H-P0590-009</t>
        </is>
      </c>
      <c r="B310" s="2" t="inlineStr">
        <is>
          <t>150-5370-10H.pdf</t>
        </is>
      </c>
      <c r="C310" s="2" t="n">
        <v>590</v>
      </c>
      <c r="D310" s="2" t="n">
        <v>9</v>
      </c>
      <c r="E310" s="2" t="inlineStr">
        <is>
          <t>[ For pipe sizes larger than 48 inches, a walk-through visual inspection shall be performed. ]</t>
        </is>
      </c>
      <c r="F310" s="2" t="inlineStr">
        <is>
          <t>Nē</t>
        </is>
      </c>
      <c r="G310" s="2" t="n"/>
    </row>
    <row r="311">
      <c r="A311" s="2" t="inlineStr">
        <is>
          <t>150-5370-10H-P0590-010</t>
        </is>
      </c>
      <c r="B311" s="2" t="inlineStr">
        <is>
          <t>150-5370-10H.pdf</t>
        </is>
      </c>
      <c r="C311" s="2" t="n">
        <v>590</v>
      </c>
      <c r="D311" s="2" t="n">
        <v>10</v>
      </c>
      <c r="E311" s="2" t="inlineStr">
        <is>
          <t>Incorporate specific inspection requirements for the various types of pipes beneath the general inspection requirements.</t>
        </is>
      </c>
      <c r="F311" s="2" t="inlineStr">
        <is>
          <t>Nē</t>
        </is>
      </c>
      <c r="G311" s="2" t="n"/>
    </row>
    <row r="312">
      <c r="A312" s="2" t="inlineStr">
        <is>
          <t>150-5370-10H-P0590-011</t>
        </is>
      </c>
      <c r="B312" s="2" t="inlineStr">
        <is>
          <t>150-5370-10H.pdf</t>
        </is>
      </c>
      <c r="C312" s="2" t="n">
        <v>590</v>
      </c>
      <c r="D312" s="2" t="n">
        <v>11</v>
      </c>
      <c r="E312" s="2" t="inlineStr">
        <is>
          <t>[ Reinforced concrete pipe shall be inspected, evaluated, and reported on in accordance with ASTM C1840, “Standard Practice for Inspection and Acceptance of Installed Reinforced Concrete Culvert, Storm Drain, and Storm Sewer Pipe.” Any issues reported shall include still photo and video documentation.</t>
        </is>
      </c>
      <c r="F312" s="2" t="inlineStr">
        <is>
          <t>Jā</t>
        </is>
      </c>
      <c r="G312" s="2" t="n"/>
    </row>
    <row r="313">
      <c r="A313" s="2" t="inlineStr">
        <is>
          <t>150-5370-10H-P0590-012</t>
        </is>
      </c>
      <c r="B313" s="2" t="inlineStr">
        <is>
          <t>150-5370-10H.pdf</t>
        </is>
      </c>
      <c r="C313" s="2" t="n">
        <v>590</v>
      </c>
      <c r="D313" s="2" t="n">
        <v>12</v>
      </c>
      <c r="E313" s="2" t="inlineStr">
        <is>
          <t>The zoom ratio shall be provided for all still or video images that document any issues of concern by the inspection firm. ]</t>
        </is>
      </c>
      <c r="F313" s="2" t="inlineStr">
        <is>
          <t>?</t>
        </is>
      </c>
      <c r="G313" s="2" t="n"/>
    </row>
    <row r="314">
      <c r="A314" s="2" t="inlineStr">
        <is>
          <t>150-5370-10H-P0590-013</t>
        </is>
      </c>
      <c r="B314" s="2" t="inlineStr">
        <is>
          <t>150-5370-10H.pdf</t>
        </is>
      </c>
      <c r="C314" s="2" t="n">
        <v>590</v>
      </c>
      <c r="D314" s="2" t="n">
        <v>13</v>
      </c>
      <c r="E314" s="2" t="inlineStr">
        <is>
          <t>[ Flexible pipes shall be inspected for rips, tears, joint separations, soil migration, cracks, localized buckling, settlement, alignment, and deflection. ] [ Determine whether the allowable deflection has been exceeded by use of a laser profiler for internal pipe diameters of 48 inches or less, or direct measurement for internal pipe diameters greater than 48 inches.</t>
        </is>
      </c>
      <c r="F314" s="2" t="inlineStr">
        <is>
          <t>Nē</t>
        </is>
      </c>
      <c r="G314" s="2" t="n"/>
    </row>
    <row r="315">
      <c r="A315" s="2" t="inlineStr">
        <is>
          <t>150-5370-10H-P0590-014</t>
        </is>
      </c>
      <c r="B315" s="2" t="inlineStr">
        <is>
          <t>150-5370-10H.pdf</t>
        </is>
      </c>
      <c r="C315" s="2" t="n">
        <v>590</v>
      </c>
      <c r="D315" s="2" t="n">
        <v>14</v>
      </c>
      <c r="E315" s="2" t="inlineStr">
        <is>
          <t>Laser profile equipment shall utilize low barrel distortion video equipment.</t>
        </is>
      </c>
      <c r="F315" s="2" t="inlineStr">
        <is>
          <t>Nē</t>
        </is>
      </c>
      <c r="G315" s="2" t="n"/>
    </row>
    <row r="316">
      <c r="A316" s="2" t="inlineStr">
        <is>
          <t>150-5370-10H-P0590-015</t>
        </is>
      </c>
      <c r="B316" s="2" t="inlineStr">
        <is>
          <t>150-5370-10H.pdf</t>
        </is>
      </c>
      <c r="C316" s="2" t="n">
        <v>590</v>
      </c>
      <c r="D316" s="2" t="n">
        <v>15</v>
      </c>
      <c r="E316" s="2" t="inlineStr">
        <is>
          <t>Deflection of installed pipe shall not exceed the limits provided in the table below, as a percentage of the average inside diameter of the pipe.</t>
        </is>
      </c>
      <c r="F316" s="2" t="inlineStr">
        <is>
          <t>Nē</t>
        </is>
      </c>
      <c r="G316" s="2" t="n"/>
    </row>
    <row r="317">
      <c r="A317" s="2" t="inlineStr">
        <is>
          <t>150-5370-10H-P0590-016</t>
        </is>
      </c>
      <c r="B317" s="2" t="inlineStr">
        <is>
          <t>150-5370-10H.pdf</t>
        </is>
      </c>
      <c r="C317" s="2" t="n">
        <v>590</v>
      </c>
      <c r="D317" s="2" t="n">
        <v>16</v>
      </c>
      <c r="E317" s="2" t="inlineStr">
        <is>
          <t>Maximum Allowable Pipe Deflection</t>
        </is>
      </c>
      <c r="F317" s="2" t="inlineStr">
        <is>
          <t>Nē</t>
        </is>
      </c>
      <c r="G317" s="2" t="n"/>
    </row>
    <row r="318">
      <c r="A318" s="2" t="inlineStr">
        <is>
          <t>150-5370-10H-P0590-017</t>
        </is>
      </c>
      <c r="B318" s="2" t="inlineStr">
        <is>
          <t>150-5370-10H.pdf</t>
        </is>
      </c>
      <c r="C318" s="2" t="n">
        <v>590</v>
      </c>
      <c r="D318" s="2" t="n">
        <v>17</v>
      </c>
      <c r="E318" s="2" t="inlineStr">
        <is>
          <t>Type of Pipe Maximum Allowable Deflection (%)</t>
        </is>
      </c>
      <c r="F318" s="2" t="inlineStr">
        <is>
          <t>Nē</t>
        </is>
      </c>
      <c r="G318" s="2" t="n"/>
    </row>
    <row r="319">
      <c r="A319" s="2" t="inlineStr">
        <is>
          <t>150-5370-10H-P0590-018</t>
        </is>
      </c>
      <c r="B319" s="2" t="inlineStr">
        <is>
          <t>150-5370-10H.pdf</t>
        </is>
      </c>
      <c r="C319" s="2" t="n">
        <v>590</v>
      </c>
      <c r="D319" s="2" t="n">
        <v>18</v>
      </c>
      <c r="E319" s="2" t="inlineStr">
        <is>
          <t>Corrugated Metal Pipe 5</t>
        </is>
      </c>
      <c r="F319" s="2" t="inlineStr">
        <is>
          <t>Nē</t>
        </is>
      </c>
      <c r="G319" s="2" t="n"/>
    </row>
    <row r="320">
      <c r="A320" s="2" t="inlineStr">
        <is>
          <t>150-5370-10H-P0590-019</t>
        </is>
      </c>
      <c r="B320" s="2" t="inlineStr">
        <is>
          <t>150-5370-10H.pdf</t>
        </is>
      </c>
      <c r="C320" s="2" t="n">
        <v>590</v>
      </c>
      <c r="D320" s="2" t="n">
        <v>19</v>
      </c>
      <c r="E320" s="2" t="inlineStr">
        <is>
          <t>Concrete Lined CMP 3</t>
        </is>
      </c>
      <c r="F320" s="2" t="inlineStr">
        <is>
          <t>Nē</t>
        </is>
      </c>
      <c r="G320" s="2" t="n"/>
    </row>
    <row r="321">
      <c r="A321" s="2" t="inlineStr">
        <is>
          <t>150-5370-10H-P0590-020</t>
        </is>
      </c>
      <c r="B321" s="2" t="inlineStr">
        <is>
          <t>150-5370-10H.pdf</t>
        </is>
      </c>
      <c r="C321" s="2" t="n">
        <v>590</v>
      </c>
      <c r="D321" s="2" t="n">
        <v>20</v>
      </c>
      <c r="E321" s="2" t="inlineStr">
        <is>
          <t>Thermoplastic Pipe 5</t>
        </is>
      </c>
      <c r="F321" s="2" t="inlineStr">
        <is>
          <t>Nē</t>
        </is>
      </c>
      <c r="G321" s="2" t="n"/>
    </row>
    <row r="322">
      <c r="A322" s="2" t="inlineStr">
        <is>
          <t>150-5370-10H-P0590-021</t>
        </is>
      </c>
      <c r="B322" s="2" t="inlineStr">
        <is>
          <t>150-5370-10H.pdf</t>
        </is>
      </c>
      <c r="C322" s="2" t="n">
        <v>590</v>
      </c>
      <c r="D322" s="2" t="n">
        <v>21</v>
      </c>
      <c r="E322" s="2" t="inlineStr">
        <is>
          <t>Fiberglass 5</t>
        </is>
      </c>
      <c r="F322" s="2" t="inlineStr">
        <is>
          <t>Nē</t>
        </is>
      </c>
      <c r="G322" s="2" t="n"/>
    </row>
    <row r="323">
      <c r="A323" s="2" t="inlineStr">
        <is>
          <t>150-5370-10H-P0590-022</t>
        </is>
      </c>
      <c r="B323" s="2" t="inlineStr">
        <is>
          <t>150-5370-10H.pdf</t>
        </is>
      </c>
      <c r="C323" s="2" t="n">
        <v>590</v>
      </c>
      <c r="D323" s="2" t="n">
        <v>22</v>
      </c>
      <c r="E323" s="2" t="inlineStr">
        <is>
          <t>If deflection readings in excess of the allowable deflection are obtained, remove the pipe with excessive deflection and replace with new pipe.</t>
        </is>
      </c>
      <c r="F323" s="2" t="inlineStr">
        <is>
          <t>Nē</t>
        </is>
      </c>
      <c r="G323" s="2" t="n"/>
    </row>
    <row r="324">
      <c r="A324" s="2" t="inlineStr">
        <is>
          <t>150-5370-10H-P0590-023</t>
        </is>
      </c>
      <c r="B324" s="2" t="inlineStr">
        <is>
          <t>150-5370-10H.pdf</t>
        </is>
      </c>
      <c r="C324" s="2" t="n">
        <v>590</v>
      </c>
      <c r="D324" s="2" t="n">
        <v>23</v>
      </c>
      <c r="E324" s="2" t="inlineStr">
        <is>
          <t>Isolated areas may exceed allowable by 2.5% with</t>
        </is>
      </c>
      <c r="F324" s="2" t="inlineStr">
        <is>
          <t>Nē</t>
        </is>
      </c>
      <c r="G324" s="2" t="n"/>
    </row>
    <row r="325">
      <c r="A325" s="2" t="inlineStr">
        <is>
          <t>150-5370-10H-P0590-024</t>
        </is>
      </c>
      <c r="B325" s="2" t="inlineStr">
        <is>
          <t>150-5370-10H.pdf</t>
        </is>
      </c>
      <c r="C325" s="2" t="n">
        <v>590</v>
      </c>
      <c r="D325" s="2" t="n">
        <v>24</v>
      </c>
      <c r="E325" s="2" t="inlineStr">
        <is>
          <t>Item D-701 Pipe for Storm Drains and Culverts 582</t>
        </is>
      </c>
      <c r="F325" s="2" t="inlineStr">
        <is>
          <t>Nē</t>
        </is>
      </c>
      <c r="G325" s="2" t="n"/>
    </row>
    <row r="326">
      <c r="A326" s="2" t="inlineStr">
        <is>
          <t>150-5370-10H-P0618-001</t>
        </is>
      </c>
      <c r="B326" s="2" t="inlineStr">
        <is>
          <t>150-5370-10H.pdf</t>
        </is>
      </c>
      <c r="C326" s="2" t="n">
        <v>618</v>
      </c>
      <c r="D326" s="2" t="n">
        <v>1</v>
      </c>
      <c r="E326" s="2" t="inlineStr">
        <is>
          <t>12/21/2018 AC 150/5370-10H</t>
        </is>
      </c>
      <c r="F326" s="2" t="inlineStr">
        <is>
          <t>Nē</t>
        </is>
      </c>
      <c r="G326" s="2" t="n"/>
    </row>
    <row r="327">
      <c r="A327" s="2" t="inlineStr">
        <is>
          <t>150-5370-10H-P0618-002</t>
        </is>
      </c>
      <c r="B327" s="2" t="inlineStr">
        <is>
          <t>150-5370-10H.pdf</t>
        </is>
      </c>
      <c r="C327" s="2" t="n">
        <v>618</v>
      </c>
      <c r="D327" s="2" t="n">
        <v>2</v>
      </c>
      <c r="E327" s="2" t="inlineStr">
        <is>
          <t>Page Intentionally Blank</t>
        </is>
      </c>
      <c r="F327" s="2" t="inlineStr">
        <is>
          <t>Nē</t>
        </is>
      </c>
      <c r="G327" s="2" t="n"/>
    </row>
    <row r="328">
      <c r="A328" s="2" t="inlineStr">
        <is>
          <t>150-5370-10H-P0618-003</t>
        </is>
      </c>
      <c r="B328" s="2" t="inlineStr">
        <is>
          <t>150-5370-10H.pdf</t>
        </is>
      </c>
      <c r="C328" s="2" t="n">
        <v>618</v>
      </c>
      <c r="D328" s="2" t="n">
        <v>3</v>
      </c>
      <c r="E328" s="2" t="inlineStr">
        <is>
          <t>Item D-752 Concrete Culverts, Headwalls, and Miscellaneous Drainage Structures 610</t>
        </is>
      </c>
      <c r="F328" s="2" t="inlineStr">
        <is>
          <t>Nē</t>
        </is>
      </c>
      <c r="G328" s="2" t="n"/>
    </row>
    <row r="329">
      <c r="A329" s="2" t="inlineStr">
        <is>
          <t>150-5370-10H-P0700-001</t>
        </is>
      </c>
      <c r="B329" s="2" t="inlineStr">
        <is>
          <t>150-5370-10H.pdf</t>
        </is>
      </c>
      <c r="C329" s="2" t="n">
        <v>700</v>
      </c>
      <c r="D329" s="2" t="n">
        <v>1</v>
      </c>
      <c r="E329" s="2" t="inlineStr">
        <is>
          <t>12/21/2018 AC 150/5370-10H</t>
        </is>
      </c>
      <c r="F329" s="2" t="inlineStr">
        <is>
          <t>Nē</t>
        </is>
      </c>
      <c r="G329" s="2" t="n"/>
    </row>
    <row r="330">
      <c r="A330" s="2" t="inlineStr">
        <is>
          <t>150-5370-10H-P0700-002</t>
        </is>
      </c>
      <c r="B330" s="2" t="inlineStr">
        <is>
          <t>150-5370-10H.pdf</t>
        </is>
      </c>
      <c r="C330" s="2" t="n">
        <v>700</v>
      </c>
      <c r="D330" s="2" t="n">
        <v>2</v>
      </c>
      <c r="E330" s="2" t="inlineStr">
        <is>
          <t>The trench shall be completely backfilled and tamped level with the adjacent surface; except that, where sod is to be placed over the trench, the backfilling shall be stopped at a depth equal to the thickness of the sod to be used, with proper allowance for settlement.</t>
        </is>
      </c>
      <c r="F330" s="2" t="inlineStr">
        <is>
          <t>Nē</t>
        </is>
      </c>
      <c r="G330" s="2" t="n"/>
    </row>
    <row r="331">
      <c r="A331" s="2" t="inlineStr">
        <is>
          <t>150-5370-10H-P0700-003</t>
        </is>
      </c>
      <c r="B331" s="2" t="inlineStr">
        <is>
          <t>150-5370-10H.pdf</t>
        </is>
      </c>
      <c r="C331" s="2" t="n">
        <v>700</v>
      </c>
      <c r="D331" s="2" t="n">
        <v>3</v>
      </c>
      <c r="E331" s="2" t="inlineStr">
        <is>
          <t>Any excess excavated material shall be removed and disposed of per instructions issued by the RPR.</t>
        </is>
      </c>
      <c r="F331" s="2" t="inlineStr">
        <is>
          <t>Nē</t>
        </is>
      </c>
      <c r="G331" s="2" t="n"/>
    </row>
    <row r="332">
      <c r="A332" s="2" t="inlineStr">
        <is>
          <t>150-5370-10H-P0700-004</t>
        </is>
      </c>
      <c r="B332" s="2" t="inlineStr">
        <is>
          <t>150-5370-10H.pdf</t>
        </is>
      </c>
      <c r="C332" s="2" t="n">
        <v>700</v>
      </c>
      <c r="D332" s="2" t="n">
        <v>4</v>
      </c>
      <c r="E332" s="2" t="inlineStr">
        <is>
          <t>110-3.6 Backfilling for duct banks.</t>
        </is>
      </c>
      <c r="F332" s="2" t="inlineStr">
        <is>
          <t>Nē</t>
        </is>
      </c>
      <c r="G332" s="2" t="n"/>
    </row>
    <row r="333">
      <c r="A333" s="2" t="inlineStr">
        <is>
          <t>150-5370-10H-P0700-005</t>
        </is>
      </c>
      <c r="B333" s="2" t="inlineStr">
        <is>
          <t>150-5370-10H.pdf</t>
        </is>
      </c>
      <c r="C333" s="2" t="n">
        <v>700</v>
      </c>
      <c r="D333" s="2" t="n">
        <v>5</v>
      </c>
      <c r="E333" s="2" t="inlineStr">
        <is>
          <t>After the concrete has cured, the remaining trench shall be backfilled and compacted per Item P-152 “Excavation and Embankment” except that the material used for backfill shall be select material not larger than 4 inches (100 mm) in diameter.</t>
        </is>
      </c>
      <c r="F333" s="2" t="inlineStr">
        <is>
          <t>Nē</t>
        </is>
      </c>
      <c r="G333" s="2" t="n"/>
    </row>
    <row r="334">
      <c r="A334" s="2" t="inlineStr">
        <is>
          <t>150-5370-10H-P0700-006</t>
        </is>
      </c>
      <c r="B334" s="2" t="inlineStr">
        <is>
          <t>150-5370-10H.pdf</t>
        </is>
      </c>
      <c r="C334" s="2" t="n">
        <v>700</v>
      </c>
      <c r="D334" s="2" t="n">
        <v>6</v>
      </c>
      <c r="E334" s="2" t="inlineStr">
        <is>
          <t>In addition to the requirements of Item P-152, where duct banks are installed under pavement, one moisture/density test per lift shall be made for each 250 linear feet (76 m) of duct bank or one work period’s construction, whichever is less.</t>
        </is>
      </c>
      <c r="F334" s="2" t="inlineStr">
        <is>
          <t>Nē</t>
        </is>
      </c>
      <c r="G334" s="2" t="n"/>
    </row>
    <row r="335">
      <c r="A335" s="2" t="inlineStr">
        <is>
          <t>150-5370-10H-P0700-007</t>
        </is>
      </c>
      <c r="B335" s="2" t="inlineStr">
        <is>
          <t>150-5370-10H.pdf</t>
        </is>
      </c>
      <c r="C335" s="2" t="n">
        <v>700</v>
      </c>
      <c r="D335" s="2" t="n">
        <v>7</v>
      </c>
      <c r="E335" s="2" t="inlineStr">
        <is>
          <t>Flowable backfill may alternatively be used.</t>
        </is>
      </c>
      <c r="F335" s="2" t="inlineStr">
        <is>
          <t>Nē</t>
        </is>
      </c>
      <c r="G335" s="2" t="n"/>
    </row>
    <row r="336">
      <c r="A336" s="2" t="inlineStr">
        <is>
          <t>150-5370-10H-P0700-008</t>
        </is>
      </c>
      <c r="B336" s="2" t="inlineStr">
        <is>
          <t>150-5370-10H.pdf</t>
        </is>
      </c>
      <c r="C336" s="2" t="n">
        <v>700</v>
      </c>
      <c r="D336" s="2" t="n">
        <v>8</v>
      </c>
      <c r="E336" s="2" t="inlineStr">
        <is>
          <t>Trenches shall not contain pools of water during backfilling operations.</t>
        </is>
      </c>
      <c r="F336" s="2" t="inlineStr">
        <is>
          <t>Nē</t>
        </is>
      </c>
      <c r="G336" s="2" t="n"/>
    </row>
    <row r="337">
      <c r="A337" s="2" t="inlineStr">
        <is>
          <t>150-5370-10H-P0700-009</t>
        </is>
      </c>
      <c r="B337" s="2" t="inlineStr">
        <is>
          <t>150-5370-10H.pdf</t>
        </is>
      </c>
      <c r="C337" s="2" t="n">
        <v>700</v>
      </c>
      <c r="D337" s="2" t="n">
        <v>9</v>
      </c>
      <c r="E337" s="2" t="inlineStr">
        <is>
          <t>110-3.7 Restoration.</t>
        </is>
      </c>
      <c r="F337" s="2" t="inlineStr">
        <is>
          <t>Nē</t>
        </is>
      </c>
      <c r="G337" s="2" t="n"/>
    </row>
    <row r="338">
      <c r="A338" s="2" t="inlineStr">
        <is>
          <t>150-5370-10H-P0700-010</t>
        </is>
      </c>
      <c r="B338" s="2" t="inlineStr">
        <is>
          <t>150-5370-10H.pdf</t>
        </is>
      </c>
      <c r="C338" s="2" t="n">
        <v>700</v>
      </c>
      <c r="D338" s="2" t="n">
        <v>10</v>
      </c>
      <c r="E338" s="2" t="inlineStr">
        <is>
          <t>Where sod has been removed, it shall be replaced as soon as possible after the backfilling is completed.</t>
        </is>
      </c>
      <c r="F338" s="2" t="inlineStr">
        <is>
          <t>Nē</t>
        </is>
      </c>
      <c r="G338" s="2" t="n"/>
    </row>
    <row r="339">
      <c r="A339" s="2" t="inlineStr">
        <is>
          <t>150-5370-10H-P0700-011</t>
        </is>
      </c>
      <c r="B339" s="2" t="inlineStr">
        <is>
          <t>150-5370-10H.pdf</t>
        </is>
      </c>
      <c r="C339" s="2" t="n">
        <v>700</v>
      </c>
      <c r="D339" s="2" t="n">
        <v>11</v>
      </c>
      <c r="E339" s="2" t="inlineStr">
        <is>
          <t>All areas disturbed by the work shall be restored to its original condition.</t>
        </is>
      </c>
      <c r="F339" s="2" t="inlineStr">
        <is>
          <t>Nē</t>
        </is>
      </c>
      <c r="G339" s="2" t="n"/>
    </row>
    <row r="340">
      <c r="A340" s="2" t="inlineStr">
        <is>
          <t>150-5370-10H-P0700-012</t>
        </is>
      </c>
      <c r="B340" s="2" t="inlineStr">
        <is>
          <t>150-5370-10H.pdf</t>
        </is>
      </c>
      <c r="C340" s="2" t="n">
        <v>700</v>
      </c>
      <c r="D340" s="2" t="n">
        <v>12</v>
      </c>
      <c r="E340" s="2" t="inlineStr">
        <is>
          <t>The restoration shall include [ sodding ] [ topsoiling ] [ fertilizing ] [ liming ] [ seeding ] [ sprigging ] [ mulching ] shown on the plans.</t>
        </is>
      </c>
      <c r="F340" s="2" t="inlineStr">
        <is>
          <t>Nē</t>
        </is>
      </c>
      <c r="G340" s="2" t="n"/>
    </row>
    <row r="341">
      <c r="A341" s="2" t="inlineStr">
        <is>
          <t>150-5370-10H-P0700-013</t>
        </is>
      </c>
      <c r="B341" s="2" t="inlineStr">
        <is>
          <t>150-5370-10H.pdf</t>
        </is>
      </c>
      <c r="C341" s="2" t="n">
        <v>700</v>
      </c>
      <c r="D341" s="2" t="n">
        <v>13</v>
      </c>
      <c r="E341" s="2" t="inlineStr">
        <is>
          <t>The Contractor shall be held responsible for maintaining all disturbed surfaces and replacements until final acceptance.</t>
        </is>
      </c>
      <c r="F341" s="2" t="inlineStr">
        <is>
          <t>Nē</t>
        </is>
      </c>
      <c r="G341" s="2" t="n"/>
    </row>
    <row r="342">
      <c r="A342" s="2" t="inlineStr">
        <is>
          <t>150-5370-10H-P0700-014</t>
        </is>
      </c>
      <c r="B342" s="2" t="inlineStr">
        <is>
          <t>150-5370-10H.pdf</t>
        </is>
      </c>
      <c r="C342" s="2" t="n">
        <v>700</v>
      </c>
      <c r="D342" s="2" t="n">
        <v>14</v>
      </c>
      <c r="E342" s="2" t="inlineStr">
        <is>
          <t>All restoration shall be considered incidental to the respective L-110 pay item.</t>
        </is>
      </c>
      <c r="F342" s="2" t="inlineStr">
        <is>
          <t>Nē</t>
        </is>
      </c>
      <c r="G342" s="2" t="n"/>
    </row>
    <row r="343">
      <c r="A343" s="2" t="inlineStr">
        <is>
          <t>150-5370-10H-P0700-015</t>
        </is>
      </c>
      <c r="B343" s="2" t="inlineStr">
        <is>
          <t>150-5370-10H.pdf</t>
        </is>
      </c>
      <c r="C343" s="2" t="n">
        <v>700</v>
      </c>
      <c r="D343" s="2" t="n">
        <v>15</v>
      </c>
      <c r="E343" s="2" t="inlineStr">
        <is>
          <t>Following restoration of all trenching near airport movement surfaces, the Contractor shall thoroughly visually inspect the area for foreign object debris (FOD), and remove any such FOD that is found.</t>
        </is>
      </c>
      <c r="F343" s="2" t="inlineStr">
        <is>
          <t>Nē</t>
        </is>
      </c>
      <c r="G343" s="2" t="n"/>
    </row>
    <row r="344">
      <c r="A344" s="2" t="inlineStr">
        <is>
          <t>150-5370-10H-P0700-016</t>
        </is>
      </c>
      <c r="B344" s="2" t="inlineStr">
        <is>
          <t>150-5370-10H.pdf</t>
        </is>
      </c>
      <c r="C344" s="2" t="n">
        <v>700</v>
      </c>
      <c r="D344" s="2" t="n">
        <v>16</v>
      </c>
      <c r="E344" s="2" t="inlineStr">
        <is>
          <t>This FOD inspection and removal shall be considered incidental to the pay item of which it is a component part.</t>
        </is>
      </c>
      <c r="F344" s="2" t="inlineStr">
        <is>
          <t>Nē</t>
        </is>
      </c>
      <c r="G344" s="2" t="n"/>
    </row>
    <row r="345">
      <c r="A345" s="2" t="inlineStr">
        <is>
          <t>150-5370-10H-P0700-017</t>
        </is>
      </c>
      <c r="B345" s="2" t="inlineStr">
        <is>
          <t>150-5370-10H.pdf</t>
        </is>
      </c>
      <c r="C345" s="2" t="n">
        <v>700</v>
      </c>
      <c r="D345" s="2" t="n">
        <v>17</v>
      </c>
      <c r="E345" s="2" t="inlineStr">
        <is>
          <t>Engineer to specify the correct method of turfing and include in the construction documents the appropriate FAA turfing specification for restoration related to the installation of such duct banks and conduits.</t>
        </is>
      </c>
      <c r="F345" s="2" t="inlineStr">
        <is>
          <t>Nē</t>
        </is>
      </c>
      <c r="G345" s="2" t="n"/>
    </row>
    <row r="346">
      <c r="A346" s="2" t="inlineStr">
        <is>
          <t>150-5370-10H-P0700-018</t>
        </is>
      </c>
      <c r="B346" s="2" t="inlineStr">
        <is>
          <t>150-5370-10H.pdf</t>
        </is>
      </c>
      <c r="C346" s="2" t="n">
        <v>700</v>
      </c>
      <c r="D346" s="2" t="n">
        <v>18</v>
      </c>
      <c r="E346" s="2" t="inlineStr">
        <is>
          <t>110-3.8 Ownership of removed cable.</t>
        </is>
      </c>
      <c r="F346" s="2" t="inlineStr">
        <is>
          <t>Nē</t>
        </is>
      </c>
      <c r="G346" s="2" t="n"/>
    </row>
    <row r="347">
      <c r="A347" s="2" t="inlineStr">
        <is>
          <t>150-5370-10H-P0700-019</t>
        </is>
      </c>
      <c r="B347" s="2" t="inlineStr">
        <is>
          <t>150-5370-10H.pdf</t>
        </is>
      </c>
      <c r="C347" s="2" t="n">
        <v>700</v>
      </c>
      <c r="D347" s="2" t="n">
        <v>19</v>
      </c>
      <c r="E347" s="2" t="inlineStr">
        <is>
          <t>The ownership of any cable to be removed should be specified in this section.</t>
        </is>
      </c>
      <c r="F347" s="2" t="inlineStr">
        <is>
          <t>Nē</t>
        </is>
      </c>
      <c r="G347" s="2" t="n"/>
    </row>
    <row r="348">
      <c r="A348" s="2" t="inlineStr">
        <is>
          <t>150-5370-10H-P0700-020</t>
        </is>
      </c>
      <c r="B348" s="2" t="inlineStr">
        <is>
          <t>150-5370-10H.pdf</t>
        </is>
      </c>
      <c r="C348" s="2" t="n">
        <v>700</v>
      </c>
      <c r="D348" s="2" t="n">
        <v>20</v>
      </c>
      <c r="E348" s="2" t="inlineStr">
        <is>
          <t>If the owner is to retain, specify how the removed cable is to be coiled, banded to pallets, delivered to, etc.</t>
        </is>
      </c>
      <c r="F348" s="2" t="inlineStr">
        <is>
          <t>Nē</t>
        </is>
      </c>
      <c r="G348" s="2" t="n"/>
    </row>
    <row r="349">
      <c r="A349" s="2" t="inlineStr">
        <is>
          <t>150-5370-10H-P0700-021</t>
        </is>
      </c>
      <c r="B349" s="2" t="inlineStr">
        <is>
          <t>150-5370-10H.pdf</t>
        </is>
      </c>
      <c r="C349" s="2" t="n">
        <v>700</v>
      </c>
      <c r="D349" s="2" t="n">
        <v>21</v>
      </c>
      <c r="E349" s="2" t="inlineStr">
        <is>
          <t>METHOD OF MEASUREMENT</t>
        </is>
      </c>
      <c r="F349" s="2" t="inlineStr">
        <is>
          <t>Nē</t>
        </is>
      </c>
      <c r="G349" s="2" t="n"/>
    </row>
    <row r="350">
      <c r="A350" s="2" t="inlineStr">
        <is>
          <t>150-5370-10H-P0700-022</t>
        </is>
      </c>
      <c r="B350" s="2" t="inlineStr">
        <is>
          <t>150-5370-10H.pdf</t>
        </is>
      </c>
      <c r="C350" s="2" t="n">
        <v>700</v>
      </c>
      <c r="D350" s="2" t="n">
        <v>22</v>
      </c>
      <c r="E350" s="2" t="inlineStr">
        <is>
          <t>110-4.1 Underground conduits and duct banks shall be measured by the linear feet (meter) of conduits and duct banks installed, including encasement, locator tape, trenching and backfill with designated</t>
        </is>
      </c>
      <c r="F350" s="2" t="inlineStr">
        <is>
          <t>Nē</t>
        </is>
      </c>
      <c r="G350" s="2" t="n"/>
    </row>
    <row r="351">
      <c r="A351" s="2" t="inlineStr">
        <is>
          <t>150-5370-10H-P0700-023</t>
        </is>
      </c>
      <c r="B351" s="2" t="inlineStr">
        <is>
          <t>150-5370-10H.pdf</t>
        </is>
      </c>
      <c r="C351" s="2" t="n">
        <v>700</v>
      </c>
      <c r="D351" s="2" t="n">
        <v>23</v>
      </c>
      <c r="E351" s="2" t="inlineStr">
        <is>
          <t>Item L-110 Airport Underground Electrical Duct Banks and Conduits 692</t>
        </is>
      </c>
      <c r="F351" s="2" t="inlineStr">
        <is>
          <t>Nē</t>
        </is>
      </c>
      <c r="G351" s="2" t="n"/>
    </row>
    <row r="352">
      <c r="A352" s="2" t="inlineStr">
        <is>
          <t>150-5370-10H-P0718-001</t>
        </is>
      </c>
      <c r="B352" s="2" t="inlineStr">
        <is>
          <t>150-5370-10H.pdf</t>
        </is>
      </c>
      <c r="C352" s="2" t="n">
        <v>718</v>
      </c>
      <c r="D352" s="2" t="n">
        <v>1</v>
      </c>
      <c r="E352" s="2" t="inlineStr">
        <is>
          <t>12/21/2018 AC 150/5370-10H</t>
        </is>
      </c>
      <c r="F352" s="2" t="inlineStr">
        <is>
          <t>Nē</t>
        </is>
      </c>
      <c r="G352" s="2" t="n"/>
    </row>
    <row r="353">
      <c r="A353" s="2" t="inlineStr">
        <is>
          <t>150-5370-10H-P0718-002</t>
        </is>
      </c>
      <c r="B353" s="2" t="inlineStr">
        <is>
          <t>150-5370-10H.pdf</t>
        </is>
      </c>
      <c r="C353" s="2" t="n">
        <v>718</v>
      </c>
      <c r="D353" s="2" t="n">
        <v>2</v>
      </c>
      <c r="E353" s="2" t="inlineStr">
        <is>
          <t>be housed in a light base per paragraph 119-2.4 or buried directly in the earth per the details shown in the plans.</t>
        </is>
      </c>
      <c r="F353" s="2" t="inlineStr">
        <is>
          <t>Nē</t>
        </is>
      </c>
      <c r="G353" s="2" t="n"/>
    </row>
    <row r="354">
      <c r="A354" s="2" t="inlineStr">
        <is>
          <t>150-5370-10H-P0718-003</t>
        </is>
      </c>
      <c r="B354" s="2" t="inlineStr">
        <is>
          <t>150-5370-10H.pdf</t>
        </is>
      </c>
      <c r="C354" s="2" t="n">
        <v>718</v>
      </c>
      <c r="D354" s="2" t="n">
        <v>3</v>
      </c>
      <c r="E354" s="2" t="inlineStr">
        <is>
          <t>119-3.6 Wiring.</t>
        </is>
      </c>
      <c r="F354" s="2" t="inlineStr">
        <is>
          <t>Nē</t>
        </is>
      </c>
      <c r="G354" s="2" t="n"/>
    </row>
    <row r="355">
      <c r="A355" s="2" t="inlineStr">
        <is>
          <t>150-5370-10H-P0718-004</t>
        </is>
      </c>
      <c r="B355" s="2" t="inlineStr">
        <is>
          <t>150-5370-10H.pdf</t>
        </is>
      </c>
      <c r="C355" s="2" t="n">
        <v>718</v>
      </c>
      <c r="D355" s="2" t="n">
        <v>4</v>
      </c>
      <c r="E355" s="2" t="inlineStr">
        <is>
          <t>The Contractor shall furnish all necessary labor and materials.</t>
        </is>
      </c>
      <c r="F355" s="2" t="inlineStr">
        <is>
          <t>Nē</t>
        </is>
      </c>
      <c r="G355" s="2" t="n"/>
    </row>
    <row r="356">
      <c r="A356" s="2" t="inlineStr">
        <is>
          <t>150-5370-10H-P0718-005</t>
        </is>
      </c>
      <c r="B356" s="2" t="inlineStr">
        <is>
          <t>150-5370-10H.pdf</t>
        </is>
      </c>
      <c r="C356" s="2" t="n">
        <v>718</v>
      </c>
      <c r="D356" s="2" t="n">
        <v>5</v>
      </c>
      <c r="E356" s="2" t="inlineStr">
        <is>
          <t>The Contractor shall make complete electrical connections from the underground cable or other source of power per the wiring diagram furnished with the project plans.</t>
        </is>
      </c>
      <c r="F356" s="2" t="inlineStr">
        <is>
          <t>Nē</t>
        </is>
      </c>
      <c r="G356" s="2" t="n"/>
    </row>
    <row r="357">
      <c r="A357" s="2" t="inlineStr">
        <is>
          <t>150-5370-10H-P0718-006</t>
        </is>
      </c>
      <c r="B357" s="2" t="inlineStr">
        <is>
          <t>150-5370-10H.pdf</t>
        </is>
      </c>
      <c r="C357" s="2" t="n">
        <v>718</v>
      </c>
      <c r="D357" s="2" t="n">
        <v>6</v>
      </c>
      <c r="E357" s="2" t="inlineStr">
        <is>
          <t>If underground cable is required for the power feed and if duct is required under paved areas, the cable and duct shall be installed per and paid for as described in Item L- 108, Underground Power Cable for Airports, and Item L-110, Airport Underground Electrical Duct Banks and Conduit.</t>
        </is>
      </c>
      <c r="F357" s="2" t="inlineStr">
        <is>
          <t>Nē</t>
        </is>
      </c>
      <c r="G357" s="2" t="n"/>
    </row>
    <row r="358">
      <c r="A358" s="2" t="inlineStr">
        <is>
          <t>150-5370-10H-P0718-007</t>
        </is>
      </c>
      <c r="B358" s="2" t="inlineStr">
        <is>
          <t>150-5370-10H.pdf</t>
        </is>
      </c>
      <c r="C358" s="2" t="n">
        <v>718</v>
      </c>
      <c r="D358" s="2" t="n">
        <v>7</v>
      </c>
      <c r="E358" s="2" t="inlineStr">
        <is>
          <t>119-3.7 Lamps.</t>
        </is>
      </c>
      <c r="F358" s="2" t="inlineStr">
        <is>
          <t>Nē</t>
        </is>
      </c>
      <c r="G358" s="2" t="n"/>
    </row>
    <row r="359">
      <c r="A359" s="2" t="inlineStr">
        <is>
          <t>150-5370-10H-P0718-008</t>
        </is>
      </c>
      <c r="B359" s="2" t="inlineStr">
        <is>
          <t>150-5370-10H.pdf</t>
        </is>
      </c>
      <c r="C359" s="2" t="n">
        <v>718</v>
      </c>
      <c r="D359" s="2" t="n">
        <v>8</v>
      </c>
      <c r="E359" s="2" t="inlineStr">
        <is>
          <t>The Contractor shall furnish and install in each unit one or two lamps that are per the manufacturer’s requirements.</t>
        </is>
      </c>
      <c r="F359" s="2" t="inlineStr">
        <is>
          <t>Nē</t>
        </is>
      </c>
      <c r="G359" s="2" t="n"/>
    </row>
    <row r="360">
      <c r="A360" s="2" t="inlineStr">
        <is>
          <t>150-5370-10H-P0718-009</t>
        </is>
      </c>
      <c r="B360" s="2" t="inlineStr">
        <is>
          <t>150-5370-10H.pdf</t>
        </is>
      </c>
      <c r="C360" s="2" t="n">
        <v>718</v>
      </c>
      <c r="D360" s="2" t="n">
        <v>9</v>
      </c>
      <c r="E360" s="2" t="inlineStr">
        <is>
          <t>Provide two lamp sets as spares.</t>
        </is>
      </c>
      <c r="F360" s="2" t="inlineStr">
        <is>
          <t>Jā</t>
        </is>
      </c>
      <c r="G360" s="2" t="n"/>
    </row>
    <row r="361">
      <c r="A361" s="2" t="inlineStr">
        <is>
          <t>150-5370-10H-P0718-010</t>
        </is>
      </c>
      <c r="B361" s="2" t="inlineStr">
        <is>
          <t>150-5370-10H.pdf</t>
        </is>
      </c>
      <c r="C361" s="2" t="n">
        <v>718</v>
      </c>
      <c r="D361" s="2" t="n">
        <v>10</v>
      </c>
      <c r="E361" s="2" t="inlineStr">
        <is>
          <t>119-3.8 Tests.</t>
        </is>
      </c>
      <c r="F361" s="2" t="inlineStr">
        <is>
          <t>Nē</t>
        </is>
      </c>
      <c r="G361" s="2" t="n"/>
    </row>
    <row r="362">
      <c r="A362" s="2" t="inlineStr">
        <is>
          <t>150-5370-10H-P0718-011</t>
        </is>
      </c>
      <c r="B362" s="2" t="inlineStr">
        <is>
          <t>150-5370-10H.pdf</t>
        </is>
      </c>
      <c r="C362" s="2" t="n">
        <v>718</v>
      </c>
      <c r="D362" s="2" t="n">
        <v>11</v>
      </c>
      <c r="E362" s="2" t="inlineStr">
        <is>
          <t>The installation shall be fully tested by continuous operation for not less than 1/2 hour as a completed unit prior to acceptance.</t>
        </is>
      </c>
      <c r="F362" s="2" t="inlineStr">
        <is>
          <t>Nē</t>
        </is>
      </c>
      <c r="G362" s="2" t="n"/>
    </row>
    <row r="363">
      <c r="A363" s="2" t="inlineStr">
        <is>
          <t>150-5370-10H-P0718-012</t>
        </is>
      </c>
      <c r="B363" s="2" t="inlineStr">
        <is>
          <t>150-5370-10H.pdf</t>
        </is>
      </c>
      <c r="C363" s="2" t="n">
        <v>718</v>
      </c>
      <c r="D363" s="2" t="n">
        <v>12</v>
      </c>
      <c r="E363" s="2" t="inlineStr">
        <is>
          <t>These tests shall include the functioning of each control not less than 10 times.</t>
        </is>
      </c>
      <c r="F363" s="2" t="inlineStr">
        <is>
          <t>Nē</t>
        </is>
      </c>
      <c r="G363" s="2" t="n"/>
    </row>
    <row r="364">
      <c r="A364" s="2" t="inlineStr">
        <is>
          <t>150-5370-10H-P0718-013</t>
        </is>
      </c>
      <c r="B364" s="2" t="inlineStr">
        <is>
          <t>150-5370-10H.pdf</t>
        </is>
      </c>
      <c r="C364" s="2" t="n">
        <v>718</v>
      </c>
      <c r="D364" s="2" t="n">
        <v>13</v>
      </c>
      <c r="E364" s="2" t="inlineStr">
        <is>
          <t>METHOD OF MEASUREMENT</t>
        </is>
      </c>
      <c r="F364" s="2" t="inlineStr">
        <is>
          <t>Nē</t>
        </is>
      </c>
      <c r="G364" s="2" t="n"/>
    </row>
    <row r="365">
      <c r="A365" s="2" t="inlineStr">
        <is>
          <t>150-5370-10H-P0718-014</t>
        </is>
      </c>
      <c r="B365" s="2" t="inlineStr">
        <is>
          <t>150-5370-10H.pdf</t>
        </is>
      </c>
      <c r="C365" s="2" t="n">
        <v>718</v>
      </c>
      <c r="D365" s="2" t="n">
        <v>14</v>
      </c>
      <c r="E365" s="2" t="inlineStr">
        <is>
          <t>119-4.1 The quantity of lights to be paid for under this item shall be the number of single- or double-type obstruction lights installed and accepted as completed units, in place, ready for operation.</t>
        </is>
      </c>
      <c r="F365" s="2" t="inlineStr">
        <is>
          <t>Nē</t>
        </is>
      </c>
      <c r="G365" s="2" t="n"/>
    </row>
    <row r="366">
      <c r="A366" s="2" t="inlineStr">
        <is>
          <t>150-5370-10H-P0718-015</t>
        </is>
      </c>
      <c r="B366" s="2" t="inlineStr">
        <is>
          <t>150-5370-10H.pdf</t>
        </is>
      </c>
      <c r="C366" s="2" t="n">
        <v>718</v>
      </c>
      <c r="D366" s="2" t="n">
        <v>15</v>
      </c>
      <c r="E366" s="2" t="inlineStr">
        <is>
          <t>BASIS OF PAYMENT</t>
        </is>
      </c>
      <c r="F366" s="2" t="inlineStr">
        <is>
          <t>Nē</t>
        </is>
      </c>
      <c r="G366" s="2" t="n"/>
    </row>
    <row r="367">
      <c r="A367" s="2" t="inlineStr">
        <is>
          <t>150-5370-10H-P0718-016</t>
        </is>
      </c>
      <c r="B367" s="2" t="inlineStr">
        <is>
          <t>150-5370-10H.pdf</t>
        </is>
      </c>
      <c r="C367" s="2" t="n">
        <v>718</v>
      </c>
      <c r="D367" s="2" t="n">
        <v>16</v>
      </c>
      <c r="E367" s="2" t="inlineStr">
        <is>
          <t>119-5.1 Payment will be made at the contract unit price for each completed obstruction light installed, in place by the Contractor, and accepted by the RPR.</t>
        </is>
      </c>
      <c r="F367" s="2" t="inlineStr">
        <is>
          <t>Nē</t>
        </is>
      </c>
      <c r="G367" s="2" t="n"/>
    </row>
    <row r="368">
      <c r="A368" s="2" t="inlineStr">
        <is>
          <t>150-5370-10H-P0718-017</t>
        </is>
      </c>
      <c r="B368" s="2" t="inlineStr">
        <is>
          <t>150-5370-10H.pdf</t>
        </is>
      </c>
      <c r="C368" s="2" t="n">
        <v>718</v>
      </c>
      <c r="D368" s="2" t="n">
        <v>17</v>
      </c>
      <c r="E368" s="2" t="inlineStr">
        <is>
          <t>This price shall be full compensation for furnishing all materials and for all preparation, assembly, and installation of these materials, and for all labor, equipment, tools, and incidentals necessary to complete this item.</t>
        </is>
      </c>
      <c r="F368" s="2" t="inlineStr">
        <is>
          <t>Nē</t>
        </is>
      </c>
      <c r="G368" s="2" t="n"/>
    </row>
    <row r="369">
      <c r="A369" s="2" t="inlineStr">
        <is>
          <t>150-5370-10H-P0718-018</t>
        </is>
      </c>
      <c r="B369" s="2" t="inlineStr">
        <is>
          <t>150-5370-10H.pdf</t>
        </is>
      </c>
      <c r="C369" s="2" t="n">
        <v>718</v>
      </c>
      <c r="D369" s="2" t="n">
        <v>18</v>
      </c>
      <c r="E369" s="2" t="inlineStr">
        <is>
          <t>Payment will be made under:</t>
        </is>
      </c>
      <c r="F369" s="2" t="inlineStr">
        <is>
          <t>Nē</t>
        </is>
      </c>
      <c r="G369" s="2" t="n"/>
    </row>
    <row r="370">
      <c r="A370" s="2" t="inlineStr">
        <is>
          <t>150-5370-10H-P0718-019</t>
        </is>
      </c>
      <c r="B370" s="2" t="inlineStr">
        <is>
          <t>150-5370-10H.pdf</t>
        </is>
      </c>
      <c r="C370" s="2" t="n">
        <v>718</v>
      </c>
      <c r="D370" s="2" t="n">
        <v>19</v>
      </c>
      <c r="E370" s="2" t="inlineStr">
        <is>
          <t>Item L-119-5.1 Airport Obstruction Light, in Place - per each</t>
        </is>
      </c>
      <c r="F370" s="2" t="inlineStr">
        <is>
          <t>Nē</t>
        </is>
      </c>
      <c r="G370" s="2" t="n"/>
    </row>
    <row r="371">
      <c r="A371" s="2" t="inlineStr">
        <is>
          <t>150-5370-10H-P0718-020</t>
        </is>
      </c>
      <c r="B371" s="2" t="inlineStr">
        <is>
          <t>150-5370-10H.pdf</t>
        </is>
      </c>
      <c r="C371" s="2" t="n">
        <v>718</v>
      </c>
      <c r="D371" s="2" t="n">
        <v>20</v>
      </c>
      <c r="E371" s="2" t="inlineStr">
        <is>
          <t>REFERENCES</t>
        </is>
      </c>
      <c r="F371" s="2" t="inlineStr">
        <is>
          <t>Nē</t>
        </is>
      </c>
      <c r="G371" s="2" t="n"/>
    </row>
    <row r="372">
      <c r="A372" s="2" t="inlineStr">
        <is>
          <t>150-5370-10H-P0718-021</t>
        </is>
      </c>
      <c r="B372" s="2" t="inlineStr">
        <is>
          <t>150-5370-10H.pdf</t>
        </is>
      </c>
      <c r="C372" s="2" t="n">
        <v>718</v>
      </c>
      <c r="D372" s="2" t="n">
        <v>21</v>
      </c>
      <c r="E372" s="2" t="inlineStr">
        <is>
          <t>The publications listed below form a part of this specification to the extent referenced.</t>
        </is>
      </c>
      <c r="F372" s="2" t="inlineStr">
        <is>
          <t>Nē</t>
        </is>
      </c>
      <c r="G372" s="2" t="n"/>
    </row>
    <row r="373">
      <c r="A373" s="2" t="inlineStr">
        <is>
          <t>150-5370-10H-P0718-022</t>
        </is>
      </c>
      <c r="B373" s="2" t="inlineStr">
        <is>
          <t>150-5370-10H.pdf</t>
        </is>
      </c>
      <c r="C373" s="2" t="n">
        <v>718</v>
      </c>
      <c r="D373" s="2" t="n">
        <v>22</v>
      </c>
      <c r="E373" s="2" t="inlineStr">
        <is>
          <t>The publications are referred to within the text by the basic designation only.</t>
        </is>
      </c>
      <c r="F373" s="2" t="inlineStr">
        <is>
          <t>Nē</t>
        </is>
      </c>
      <c r="G373" s="2" t="n"/>
    </row>
    <row r="374">
      <c r="A374" s="2" t="inlineStr">
        <is>
          <t>150-5370-10H-P0718-023</t>
        </is>
      </c>
      <c r="B374" s="2" t="inlineStr">
        <is>
          <t>150-5370-10H.pdf</t>
        </is>
      </c>
      <c r="C374" s="2" t="n">
        <v>718</v>
      </c>
      <c r="D374" s="2" t="n">
        <v>23</v>
      </c>
      <c r="E374" s="2" t="inlineStr">
        <is>
          <t>Advisory Circulars (AC)</t>
        </is>
      </c>
      <c r="F374" s="2" t="inlineStr">
        <is>
          <t>Nē</t>
        </is>
      </c>
      <c r="G374" s="2" t="n"/>
    </row>
    <row r="375">
      <c r="A375" s="2" t="inlineStr">
        <is>
          <t>150-5370-10H-P0718-024</t>
        </is>
      </c>
      <c r="B375" s="2" t="inlineStr">
        <is>
          <t>150-5370-10H.pdf</t>
        </is>
      </c>
      <c r="C375" s="2" t="n">
        <v>718</v>
      </c>
      <c r="D375" s="2" t="n">
        <v>24</v>
      </c>
      <c r="E375" s="2" t="inlineStr">
        <is>
          <t>AC 70/7460-1 Obstruction Marking and Lighting</t>
        </is>
      </c>
      <c r="F375" s="2" t="inlineStr">
        <is>
          <t>Nē</t>
        </is>
      </c>
      <c r="G375" s="2" t="n"/>
    </row>
    <row r="376">
      <c r="A376" s="2" t="inlineStr">
        <is>
          <t>150-5370-10H-P0718-025</t>
        </is>
      </c>
      <c r="B376" s="2" t="inlineStr">
        <is>
          <t>150-5370-10H.pdf</t>
        </is>
      </c>
      <c r="C376" s="2" t="n">
        <v>718</v>
      </c>
      <c r="D376" s="2" t="n">
        <v>25</v>
      </c>
      <c r="E376" s="2" t="inlineStr">
        <is>
          <t>AC 150/5340-30 Design and Installation Details for Airport Visual Aids</t>
        </is>
      </c>
      <c r="F376" s="2" t="inlineStr">
        <is>
          <t>Nē</t>
        </is>
      </c>
      <c r="G376" s="2" t="n"/>
    </row>
    <row r="377">
      <c r="A377" s="2" t="inlineStr">
        <is>
          <t>150-5370-10H-P0718-026</t>
        </is>
      </c>
      <c r="B377" s="2" t="inlineStr">
        <is>
          <t>150-5370-10H.pdf</t>
        </is>
      </c>
      <c r="C377" s="2" t="n">
        <v>718</v>
      </c>
      <c r="D377" s="2" t="n">
        <v>26</v>
      </c>
      <c r="E377" s="2" t="inlineStr">
        <is>
          <t>AC 150/5345-7 Specification for L-824 Underground Electrical Cable for Airport Lighting Circuits</t>
        </is>
      </c>
      <c r="F377" s="2" t="inlineStr">
        <is>
          <t>Nē</t>
        </is>
      </c>
      <c r="G377" s="2" t="n"/>
    </row>
    <row r="378">
      <c r="A378" s="2" t="inlineStr">
        <is>
          <t>150-5370-10H-P0718-027</t>
        </is>
      </c>
      <c r="B378" s="2" t="inlineStr">
        <is>
          <t>150-5370-10H.pdf</t>
        </is>
      </c>
      <c r="C378" s="2" t="n">
        <v>718</v>
      </c>
      <c r="D378" s="2" t="n">
        <v>27</v>
      </c>
      <c r="E378" s="2" t="inlineStr">
        <is>
          <t>AC 150/5345-42 Specification for Airport Light Bases, Transformer Housing, Junction Boxes, and Accessories</t>
        </is>
      </c>
      <c r="F378" s="2" t="inlineStr">
        <is>
          <t>Nē</t>
        </is>
      </c>
      <c r="G378" s="2" t="n"/>
    </row>
    <row r="379">
      <c r="A379" s="2" t="inlineStr">
        <is>
          <t>150-5370-10H-P0718-028</t>
        </is>
      </c>
      <c r="B379" s="2" t="inlineStr">
        <is>
          <t>150-5370-10H.pdf</t>
        </is>
      </c>
      <c r="C379" s="2" t="n">
        <v>718</v>
      </c>
      <c r="D379" s="2" t="n">
        <v>28</v>
      </c>
      <c r="E379" s="2" t="inlineStr">
        <is>
          <t>AC 150/5345-43 Specification for Obstruction Lighting Equipment</t>
        </is>
      </c>
      <c r="F379" s="2" t="inlineStr">
        <is>
          <t>Nē</t>
        </is>
      </c>
      <c r="G379" s="2" t="n"/>
    </row>
    <row r="380">
      <c r="A380" s="2" t="inlineStr">
        <is>
          <t>150-5370-10H-P0718-029</t>
        </is>
      </c>
      <c r="B380" s="2" t="inlineStr">
        <is>
          <t>150-5370-10H.pdf</t>
        </is>
      </c>
      <c r="C380" s="2" t="n">
        <v>718</v>
      </c>
      <c r="D380" s="2" t="n">
        <v>29</v>
      </c>
      <c r="E380" s="2" t="inlineStr">
        <is>
          <t>AC 150/5345-47 Specification for Series to Series Isolation Transformers for Airport Lighting Systems</t>
        </is>
      </c>
      <c r="F380" s="2" t="inlineStr">
        <is>
          <t>Nē</t>
        </is>
      </c>
      <c r="G380" s="2" t="n"/>
    </row>
    <row r="381">
      <c r="A381" s="2" t="inlineStr">
        <is>
          <t>150-5370-10H-P0718-030</t>
        </is>
      </c>
      <c r="B381" s="2" t="inlineStr">
        <is>
          <t>150-5370-10H.pdf</t>
        </is>
      </c>
      <c r="C381" s="2" t="n">
        <v>718</v>
      </c>
      <c r="D381" s="2" t="n">
        <v>30</v>
      </c>
      <c r="E381" s="2" t="inlineStr">
        <is>
          <t>AC 150/5345-53 Airport Lighting Equipment Certification Program</t>
        </is>
      </c>
      <c r="F381" s="2" t="inlineStr">
        <is>
          <t>Nē</t>
        </is>
      </c>
      <c r="G381" s="2" t="n"/>
    </row>
    <row r="382">
      <c r="A382" s="2" t="inlineStr">
        <is>
          <t>150-5370-10H-P0718-031</t>
        </is>
      </c>
      <c r="B382" s="2" t="inlineStr">
        <is>
          <t>150-5370-10H.pdf</t>
        </is>
      </c>
      <c r="C382" s="2" t="n">
        <v>718</v>
      </c>
      <c r="D382" s="2" t="n">
        <v>31</v>
      </c>
      <c r="E382" s="2" t="inlineStr">
        <is>
          <t>Item L-119 Airport Obstruction Lights 710</t>
        </is>
      </c>
      <c r="F382" s="2" t="inlineStr">
        <is>
          <t>Nē</t>
        </is>
      </c>
      <c r="G382" s="2" t="n"/>
    </row>
  </sheetData>
  <autoFilter ref="A1:G382"/>
  <conditionalFormatting sqref="F2:F382">
    <cfRule type="expression" priority="1" dxfId="0">
      <formula>F2="Jā"</formula>
    </cfRule>
    <cfRule type="expression" priority="2" dxfId="1">
      <formula>F2="Nē"</formula>
    </cfRule>
    <cfRule type="expression" priority="3" dxfId="2">
      <formula>F2=""</formula>
    </cfRule>
  </conditionalFormatting>
  <dataValidations count="1">
    <dataValidation sqref="F2:F382" showDropDown="0" showInputMessage="0" showErrorMessage="0" allowBlank="1" errorTitle="SpecTakeoff" error="Izvēlies Jā, Nē vai ?" type="list">
      <formula1>"Jā,Nē,?"</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8" customWidth="1" min="2" max="2"/>
    <col width="10" customWidth="1" min="3" max="3"/>
    <col width="12" customWidth="1" min="4" max="4"/>
    <col width="10" customWidth="1" min="5" max="5"/>
  </cols>
  <sheetData>
    <row r="1">
      <c r="A1" s="4" t="inlineStr">
        <is>
          <t>Fails</t>
        </is>
      </c>
      <c r="B1" s="4" t="inlineStr">
        <is>
          <t>Lapa</t>
        </is>
      </c>
      <c r="C1" s="4" t="inlineStr">
        <is>
          <t>Rindas</t>
        </is>
      </c>
      <c r="D1" s="4" t="inlineStr">
        <is>
          <t>Atzīmētas</t>
        </is>
      </c>
      <c r="E1" s="4" t="inlineStr">
        <is>
          <t>Gatava?</t>
        </is>
      </c>
    </row>
    <row r="2">
      <c r="A2" t="inlineStr">
        <is>
          <t>150-5370-10H.pdf</t>
        </is>
      </c>
      <c r="B2" t="n">
        <v>103</v>
      </c>
      <c r="C2">
        <f>COUNTIFS(Etalons!B:B,A2,Etalons!C:C,B2)</f>
        <v/>
      </c>
      <c r="D2">
        <f>COUNTIFS(Etalons!B:B,A2,Etalons!C:C,B2,Etalons!F:F,"&lt;&gt;")</f>
        <v/>
      </c>
      <c r="E2">
        <f>IF(D2=C2,"Jā","Nē")</f>
        <v/>
      </c>
    </row>
    <row r="3">
      <c r="A3" t="inlineStr">
        <is>
          <t>150-5370-10H.pdf</t>
        </is>
      </c>
      <c r="B3" t="n">
        <v>141</v>
      </c>
      <c r="C3">
        <f>COUNTIFS(Etalons!B:B,A3,Etalons!C:C,B3)</f>
        <v/>
      </c>
      <c r="D3">
        <f>COUNTIFS(Etalons!B:B,A3,Etalons!C:C,B3,Etalons!F:F,"&lt;&gt;")</f>
        <v/>
      </c>
      <c r="E3">
        <f>IF(D3=C3,"Jā","Nē")</f>
        <v/>
      </c>
    </row>
    <row r="4">
      <c r="A4" t="inlineStr">
        <is>
          <t>150-5370-10H.pdf</t>
        </is>
      </c>
      <c r="B4" t="n">
        <v>183</v>
      </c>
      <c r="C4">
        <f>COUNTIFS(Etalons!B:B,A4,Etalons!C:C,B4)</f>
        <v/>
      </c>
      <c r="D4">
        <f>COUNTIFS(Etalons!B:B,A4,Etalons!C:C,B4,Etalons!F:F,"&lt;&gt;")</f>
        <v/>
      </c>
      <c r="E4">
        <f>IF(D4=C4,"Jā","Nē")</f>
        <v/>
      </c>
    </row>
    <row r="5">
      <c r="A5" t="inlineStr">
        <is>
          <t>150-5370-10H.pdf</t>
        </is>
      </c>
      <c r="B5" t="n">
        <v>242</v>
      </c>
      <c r="C5">
        <f>COUNTIFS(Etalons!B:B,A5,Etalons!C:C,B5)</f>
        <v/>
      </c>
      <c r="D5">
        <f>COUNTIFS(Etalons!B:B,A5,Etalons!C:C,B5,Etalons!F:F,"&lt;&gt;")</f>
        <v/>
      </c>
      <c r="E5">
        <f>IF(D5=C5,"Jā","Nē")</f>
        <v/>
      </c>
    </row>
    <row r="6">
      <c r="A6" t="inlineStr">
        <is>
          <t>150-5370-10H.pdf</t>
        </is>
      </c>
      <c r="B6" t="n">
        <v>310</v>
      </c>
      <c r="C6">
        <f>COUNTIFS(Etalons!B:B,A6,Etalons!C:C,B6)</f>
        <v/>
      </c>
      <c r="D6">
        <f>COUNTIFS(Etalons!B:B,A6,Etalons!C:C,B6,Etalons!F:F,"&lt;&gt;")</f>
        <v/>
      </c>
      <c r="E6">
        <f>IF(D6=C6,"Jā","Nē")</f>
        <v/>
      </c>
    </row>
    <row r="7">
      <c r="A7" t="inlineStr">
        <is>
          <t>150-5370-10H.pdf</t>
        </is>
      </c>
      <c r="B7" t="n">
        <v>428</v>
      </c>
      <c r="C7">
        <f>COUNTIFS(Etalons!B:B,A7,Etalons!C:C,B7)</f>
        <v/>
      </c>
      <c r="D7">
        <f>COUNTIFS(Etalons!B:B,A7,Etalons!C:C,B7,Etalons!F:F,"&lt;&gt;")</f>
        <v/>
      </c>
      <c r="E7">
        <f>IF(D7=C7,"Jā","Nē")</f>
        <v/>
      </c>
    </row>
    <row r="8">
      <c r="A8" t="inlineStr">
        <is>
          <t>150-5370-10H.pdf</t>
        </is>
      </c>
      <c r="B8" t="n">
        <v>464</v>
      </c>
      <c r="C8">
        <f>COUNTIFS(Etalons!B:B,A8,Etalons!C:C,B8)</f>
        <v/>
      </c>
      <c r="D8">
        <f>COUNTIFS(Etalons!B:B,A8,Etalons!C:C,B8,Etalons!F:F,"&lt;&gt;")</f>
        <v/>
      </c>
      <c r="E8">
        <f>IF(D8=C8,"Jā","Nē")</f>
        <v/>
      </c>
    </row>
    <row r="9">
      <c r="A9" t="inlineStr">
        <is>
          <t>150-5370-10H.pdf</t>
        </is>
      </c>
      <c r="B9" t="n">
        <v>540</v>
      </c>
      <c r="C9">
        <f>COUNTIFS(Etalons!B:B,A9,Etalons!C:C,B9)</f>
        <v/>
      </c>
      <c r="D9">
        <f>COUNTIFS(Etalons!B:B,A9,Etalons!C:C,B9,Etalons!F:F,"&lt;&gt;")</f>
        <v/>
      </c>
      <c r="E9">
        <f>IF(D9=C9,"Jā","Nē")</f>
        <v/>
      </c>
    </row>
    <row r="10">
      <c r="A10" t="inlineStr">
        <is>
          <t>150-5370-10H.pdf</t>
        </is>
      </c>
      <c r="B10" t="n">
        <v>551</v>
      </c>
      <c r="C10">
        <f>COUNTIFS(Etalons!B:B,A10,Etalons!C:C,B10)</f>
        <v/>
      </c>
      <c r="D10">
        <f>COUNTIFS(Etalons!B:B,A10,Etalons!C:C,B10,Etalons!F:F,"&lt;&gt;")</f>
        <v/>
      </c>
      <c r="E10">
        <f>IF(D10=C10,"Jā","Nē")</f>
        <v/>
      </c>
    </row>
    <row r="11">
      <c r="A11" t="inlineStr">
        <is>
          <t>150-5370-10H.pdf</t>
        </is>
      </c>
      <c r="B11" t="n">
        <v>555</v>
      </c>
      <c r="C11">
        <f>COUNTIFS(Etalons!B:B,A11,Etalons!C:C,B11)</f>
        <v/>
      </c>
      <c r="D11">
        <f>COUNTIFS(Etalons!B:B,A11,Etalons!C:C,B11,Etalons!F:F,"&lt;&gt;")</f>
        <v/>
      </c>
      <c r="E11">
        <f>IF(D11=C11,"Jā","Nē")</f>
        <v/>
      </c>
    </row>
    <row r="12">
      <c r="A12" t="inlineStr">
        <is>
          <t>150-5370-10H.pdf</t>
        </is>
      </c>
      <c r="B12" t="n">
        <v>575</v>
      </c>
      <c r="C12">
        <f>COUNTIFS(Etalons!B:B,A12,Etalons!C:C,B12)</f>
        <v/>
      </c>
      <c r="D12">
        <f>COUNTIFS(Etalons!B:B,A12,Etalons!C:C,B12,Etalons!F:F,"&lt;&gt;")</f>
        <v/>
      </c>
      <c r="E12">
        <f>IF(D12=C12,"Jā","Nē")</f>
        <v/>
      </c>
    </row>
    <row r="13">
      <c r="A13" t="inlineStr">
        <is>
          <t>150-5370-10H.pdf</t>
        </is>
      </c>
      <c r="B13" t="n">
        <v>590</v>
      </c>
      <c r="C13">
        <f>COUNTIFS(Etalons!B:B,A13,Etalons!C:C,B13)</f>
        <v/>
      </c>
      <c r="D13">
        <f>COUNTIFS(Etalons!B:B,A13,Etalons!C:C,B13,Etalons!F:F,"&lt;&gt;")</f>
        <v/>
      </c>
      <c r="E13">
        <f>IF(D13=C13,"Jā","Nē")</f>
        <v/>
      </c>
    </row>
    <row r="14">
      <c r="A14" t="inlineStr">
        <is>
          <t>150-5370-10H.pdf</t>
        </is>
      </c>
      <c r="B14" t="n">
        <v>618</v>
      </c>
      <c r="C14">
        <f>COUNTIFS(Etalons!B:B,A14,Etalons!C:C,B14)</f>
        <v/>
      </c>
      <c r="D14">
        <f>COUNTIFS(Etalons!B:B,A14,Etalons!C:C,B14,Etalons!F:F,"&lt;&gt;")</f>
        <v/>
      </c>
      <c r="E14">
        <f>IF(D14=C14,"Jā","Nē")</f>
        <v/>
      </c>
    </row>
    <row r="15">
      <c r="A15" t="inlineStr">
        <is>
          <t>150-5370-10H.pdf</t>
        </is>
      </c>
      <c r="B15" t="n">
        <v>700</v>
      </c>
      <c r="C15">
        <f>COUNTIFS(Etalons!B:B,A15,Etalons!C:C,B15)</f>
        <v/>
      </c>
      <c r="D15">
        <f>COUNTIFS(Etalons!B:B,A15,Etalons!C:C,B15,Etalons!F:F,"&lt;&gt;")</f>
        <v/>
      </c>
      <c r="E15">
        <f>IF(D15=C15,"Jā","Nē")</f>
        <v/>
      </c>
    </row>
    <row r="16">
      <c r="A16" t="inlineStr">
        <is>
          <t>150-5370-10H.pdf</t>
        </is>
      </c>
      <c r="B16" t="n">
        <v>718</v>
      </c>
      <c r="C16">
        <f>COUNTIFS(Etalons!B:B,A16,Etalons!C:C,B16)</f>
        <v/>
      </c>
      <c r="D16">
        <f>COUNTIFS(Etalons!B:B,A16,Etalons!C:C,B16,Etalons!F:F,"&lt;&gt;")</f>
        <v/>
      </c>
      <c r="E16">
        <f>IF(D16=C16,"Jā","Nē")</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{"tool_version": "4.0.0", "seed": 1, "sample": 20, "pages_spec": "103,141,183,242,310,428,464,540,551,555,575,590,618,700,718", "show_predictions": false, "sources": [{"name": "150-5370-10H.pdf", "path": "/tmp/claude-0/-home-user-workflows-starter-template/02873300-0aa4-5b5a-a8bb-9cae7051367b/scratchpad/holdout2/150-5370-10H.pdf", "sha256": "5b573a0979564a49bc052c2c84cc774218155b691e4511722aeb42969bededef"}], "pages": [{"source": "150-5370-10H.pdf", "page": 103}, {"source": "150-5370-10H.pdf", "page": 141}, {"source": "150-5370-10H.pdf", "page": 183}, {"source": "150-5370-10H.pdf", "page": 242}, {"source": "150-5370-10H.pdf", "page": 310}, {"source": "150-5370-10H.pdf", "page": 428}, {"source": "150-5370-10H.pdf", "page": 464}, {"source": "150-5370-10H.pdf", "page": 540}, {"source": "150-5370-10H.pdf", "page": 551}, {"source": "150-5370-10H.pdf", "page": 555}, {"source": "150-5370-10H.pdf", "page": 575}, {"source": "150-5370-10H.pdf", "page": 590}, {"source": "150-5370-10H.pdf", "page": 618}, {"source": "150-5370-10H.pdf", "page": 700}, {"source": "150-5370-10H.pdf", "page": 718}]}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2026-10-16T01:42:46Z</dcterms:created>
  <dcterms:modified xmlns:dcterms="http://purl.org/dc/terms/" xmlns:xsi="http://www.w3.org/2001/XMLSchema-instance" xsi:type="dcterms:W3CDTF">2026-10-16T01:43:57Z</dcterms:modified>
</cp:coreProperties>
</file>