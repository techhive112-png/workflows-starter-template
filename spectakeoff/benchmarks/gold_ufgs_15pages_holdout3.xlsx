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kcija" sheetId="1" state="visible" r:id="rId1"/>
    <sheet xmlns:r="http://schemas.openxmlformats.org/officeDocument/2006/relationships" name="Etalons" sheetId="2" state="visible" r:id="rId2"/>
    <sheet xmlns:r="http://schemas.openxmlformats.org/officeDocument/2006/relationships" name="Lapas" sheetId="3" state="visible" r:id="rId3"/>
    <sheet xmlns:r="http://schemas.openxmlformats.org/officeDocument/2006/relationships" name="_meta" sheetId="4" state="hidden" r:id="rId4"/>
  </sheets>
  <definedNames>
    <definedName name="_xlnm._FilterDatabase" localSheetId="1" hidden="1">'Etalons'!$A$1:$G$357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dxfs count="3">
    <dxf>
      <fill>
        <patternFill patternType="solid">
          <fgColor rgb="00D9EAD3"/>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120" customWidth="1" min="2" max="2"/>
  </cols>
  <sheetData>
    <row r="1">
      <c r="A1" s="1" t="inlineStr">
        <is>
          <t>Tēma</t>
        </is>
      </c>
      <c r="B1" s="1" t="inlineStr">
        <is>
          <t>Apraksts</t>
        </is>
      </c>
    </row>
    <row r="2">
      <c r="A2" s="2" t="inlineStr">
        <is>
          <t>Mērķis</t>
        </is>
      </c>
      <c r="B2" s="2" t="inlineStr">
        <is>
          <t>Atzīmē KATRU rindu šajās lapās: vai tā ir nodošanas / closeout prasība? Tad `spectakeoff eval` izmērīs, ko programma atrod pareizi, ko kļūdaini un ko palaiž garām.</t>
        </is>
      </c>
    </row>
    <row r="3">
      <c r="A3" s="2" t="inlineStr">
        <is>
          <t>Kā aizpildīt</t>
        </is>
      </c>
      <c r="B3" s="2" t="inlineStr">
        <is>
          <t>Kolonnā F izvēlies Jā vai Nē (vai ? ja tiešām nav skaidrs - tādas rindas netiek vērtētas). Atver PDF norādītajā lapā, ja teksts nav saprotams bez konteksta.</t>
        </is>
      </c>
    </row>
    <row r="4">
      <c r="A4" s="2" t="inlineStr">
        <is>
          <t>Jā</t>
        </is>
      </c>
      <c r="B4" s="2" t="inlineStr">
        <is>
          <t>Teikums vai saraksta punkts uzliek darbuzņēmējam pienākumu NODOT vai IESNIEGT kaut ko nodošanai/closeout: garantija, O&amp;M rokasgrāmatas, izpilddokumentācija (as-built / record drawings), rezerves daļas, papildu materiāli (attic stock), speciālie instrumenti, apmācība, testu atskaites, sertifikāti un atbilstības apliecinājumi, iesniegumu saraksta punkti (piem. UFGS SD-06/07/09/10/11).</t>
        </is>
      </c>
    </row>
    <row r="5">
      <c r="A5" s="2" t="inlineStr">
        <is>
          <t>Nē</t>
        </is>
      </c>
      <c r="B5" s="2" t="inlineStr">
        <is>
          <t>Būvdarbu metodes, materiālu īpašības, juridiski skaidrojumi ('shall not relieve...'), redaktora piezīmes (NOTE:, 'The Engineer shall...'), virsraksti, lapu galvenes, atsauces uz citām sadaļām, uzstādīšana 'saskaņā ar ražotāja instrukcijām'.</t>
        </is>
      </c>
    </row>
    <row r="6">
      <c r="A6" s="2" t="inlineStr">
        <is>
          <t>Piemērs Jā</t>
        </is>
      </c>
      <c r="B6" s="2" t="inlineStr">
        <is>
          <t>Provide two (2) copies of all manufacturers warranties specified for materials.</t>
        </is>
      </c>
    </row>
    <row r="7">
      <c r="A7" s="2" t="inlineStr">
        <is>
          <t>Piemērs Jā</t>
        </is>
      </c>
      <c r="B7" s="2" t="inlineStr">
        <is>
          <t>Operation and Maintenance Manuals; G, [_____]   (punkts zem SD-10)</t>
        </is>
      </c>
    </row>
    <row r="8">
      <c r="A8" s="2" t="inlineStr">
        <is>
          <t>Piemērs Nē</t>
        </is>
      </c>
      <c r="B8" s="2" t="inlineStr">
        <is>
          <t>Air-entraining admixtures shall meet the requirements of ASTM C260.</t>
        </is>
      </c>
    </row>
    <row r="9">
      <c r="A9" s="2" t="inlineStr">
        <is>
          <t>Piemērs Nē</t>
        </is>
      </c>
      <c r="B9" s="2" t="inlineStr">
        <is>
          <t>Manufacturer's certifications shall not relieve the Contractor of the responsibility...</t>
        </is>
      </c>
    </row>
    <row r="10">
      <c r="A10" s="2" t="inlineStr">
        <is>
          <t>Svarīgi</t>
        </is>
      </c>
      <c r="B10" s="2" t="inlineStr">
        <is>
          <t>Neskaties, ko atrada programma, pirms neesi atzīmējis pats - citādi mērījums būs neobjektīvs. Ja failā ir kolonna 'Programma atrada', to var paslēpt.</t>
        </is>
      </c>
    </row>
    <row r="11">
      <c r="A11" s="2" t="inlineStr">
        <is>
          <t>Pēc tam</t>
        </is>
      </c>
      <c r="B11" s="2" t="inlineStr">
        <is>
          <t>Saglabā failu un palaid:  spectakeoff eval etalons.xlsx   (programma pati atkārtoti apstrādās tos pašus PDF un salīdzinās). Lapas, kur kaut viena rinda nav atzīmēta, netiek vērtētas.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7"/>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7" customWidth="1" min="3" max="3"/>
    <col width="8" customWidth="1" min="4" max="4"/>
    <col width="90" customWidth="1" min="5" max="5"/>
    <col width="16" customWidth="1" min="6" max="6"/>
    <col width="30" customWidth="1" min="7" max="7"/>
    <col width="14" customWidth="1" min="8" max="8"/>
  </cols>
  <sheetData>
    <row r="1">
      <c r="A1" s="3" t="inlineStr">
        <is>
          <t>ID</t>
        </is>
      </c>
      <c r="B1" s="3" t="inlineStr">
        <is>
          <t>Fails</t>
        </is>
      </c>
      <c r="C1" s="3" t="inlineStr">
        <is>
          <t>Lapa</t>
        </is>
      </c>
      <c r="D1" s="3" t="inlineStr">
        <is>
          <t>Nr. lapā</t>
        </is>
      </c>
      <c r="E1" s="3" t="inlineStr">
        <is>
          <t>Teksts (oriģināls)</t>
        </is>
      </c>
      <c r="F1" s="3" t="inlineStr">
        <is>
          <t>Prasība? (Jā/Nē)</t>
        </is>
      </c>
      <c r="G1" s="3" t="inlineStr">
        <is>
          <t>Piezīme</t>
        </is>
      </c>
    </row>
    <row r="2">
      <c r="A2" s="2" t="inlineStr">
        <is>
          <t>UFGS_07_92_0-P0008-001</t>
        </is>
      </c>
      <c r="B2" s="2" t="inlineStr">
        <is>
          <t>UFGS_07_92_00.pdf</t>
        </is>
      </c>
      <c r="C2" s="2" t="n">
        <v>8</v>
      </c>
      <c r="D2" s="2" t="n">
        <v>1</v>
      </c>
      <c r="E2" s="2" t="inlineStr">
        <is>
          <t>incorporated into the Work.</t>
        </is>
      </c>
      <c r="F2" s="2" t="inlineStr">
        <is>
          <t>Nē</t>
        </is>
      </c>
      <c r="G2" s="2" t="n"/>
    </row>
    <row r="3">
      <c r="A3" s="2" t="inlineStr">
        <is>
          <t>UFGS_07_92_0-P0008-002</t>
        </is>
      </c>
      <c r="B3" s="2" t="inlineStr">
        <is>
          <t>UFGS_07_92_00.pdf</t>
        </is>
      </c>
      <c r="C3" s="2" t="n">
        <v>8</v>
      </c>
      <c r="D3" s="2" t="n">
        <v>2</v>
      </c>
      <c r="E3" s="2" t="inlineStr">
        <is>
          <t>1.7.4 Adhesion</t>
        </is>
      </c>
      <c r="F3" s="2" t="inlineStr">
        <is>
          <t>Nē</t>
        </is>
      </c>
      <c r="G3" s="2" t="n"/>
    </row>
    <row r="4">
      <c r="A4" s="2" t="inlineStr">
        <is>
          <t>UFGS_07_92_0-P0008-003</t>
        </is>
      </c>
      <c r="B4" s="2" t="inlineStr">
        <is>
          <t>UFGS_07_92_00.pdf</t>
        </is>
      </c>
      <c r="C4" s="2" t="n">
        <v>8</v>
      </c>
      <c r="D4" s="2" t="n">
        <v>3</v>
      </c>
      <c r="E4" s="2" t="inlineStr">
        <is>
          <t>Provide in accordance with ASTM C1193 or ASTM C1521.</t>
        </is>
      </c>
      <c r="F4" s="2" t="inlineStr">
        <is>
          <t>Nē</t>
        </is>
      </c>
      <c r="G4" s="2" t="n"/>
    </row>
    <row r="5">
      <c r="A5" s="2" t="inlineStr">
        <is>
          <t>UFGS_07_92_0-P0008-004</t>
        </is>
      </c>
      <c r="B5" s="2" t="inlineStr">
        <is>
          <t>UFGS_07_92_00.pdf</t>
        </is>
      </c>
      <c r="C5" s="2" t="n">
        <v>8</v>
      </c>
      <c r="D5" s="2" t="n">
        <v>4</v>
      </c>
      <c r="E5" s="2" t="inlineStr">
        <is>
          <t>PART 2 PRODUCTS</t>
        </is>
      </c>
      <c r="F5" s="2" t="inlineStr">
        <is>
          <t>Nē</t>
        </is>
      </c>
      <c r="G5" s="2" t="n"/>
    </row>
    <row r="6">
      <c r="A6" s="2" t="inlineStr">
        <is>
          <t>UFGS_07_92_0-P0008-005</t>
        </is>
      </c>
      <c r="B6" s="2" t="inlineStr">
        <is>
          <t>UFGS_07_92_00.pdf</t>
        </is>
      </c>
      <c r="C6" s="2" t="n">
        <v>8</v>
      </c>
      <c r="D6" s="2" t="n">
        <v>5</v>
      </c>
      <c r="E6" s="2" t="inlineStr">
        <is>
          <t>2.1 SEALANTS</t>
        </is>
      </c>
      <c r="F6" s="2" t="inlineStr">
        <is>
          <t>Nē</t>
        </is>
      </c>
      <c r="G6" s="2" t="n"/>
    </row>
    <row r="7">
      <c r="A7" s="2" t="inlineStr">
        <is>
          <t>UFGS_07_92_0-P0008-006</t>
        </is>
      </c>
      <c r="B7" s="2" t="inlineStr">
        <is>
          <t>UFGS_07_92_00.pdf</t>
        </is>
      </c>
      <c r="C7" s="2" t="n">
        <v>8</v>
      </c>
      <c r="D7" s="2" t="n">
        <v>6</v>
      </c>
      <c r="E7" s="2" t="inlineStr">
        <is>
          <t>NOTE: Use Latex Sealant (ASTM C834) for temporary, low budget construction but verify toxicity of products prior to specifying; interior sealing of joints in wood or masonry, or in short joints between masonry, wood, or metal surfaces where maximum movement is anticipated not to exceed 15 percent of joint width.</t>
        </is>
      </c>
      <c r="F7" s="2" t="inlineStr">
        <is>
          <t>Nē</t>
        </is>
      </c>
      <c r="G7" s="2" t="n"/>
    </row>
    <row r="8">
      <c r="A8" s="2" t="inlineStr">
        <is>
          <t>UFGS_07_92_0-P0008-007</t>
        </is>
      </c>
      <c r="B8" s="2" t="inlineStr">
        <is>
          <t>UFGS_07_92_00.pdf</t>
        </is>
      </c>
      <c r="C8" s="2" t="n">
        <v>8</v>
      </c>
      <c r="D8" s="2" t="n">
        <v>7</v>
      </c>
      <c r="E8" s="2" t="inlineStr">
        <is>
          <t>Use elastomeric Sealants (ASTM C920) for interior and exterior applications where maximum joint movement is anticipated to be between 25 and 50 percent of joint width.</t>
        </is>
      </c>
      <c r="F8" s="2" t="inlineStr">
        <is>
          <t>Nē</t>
        </is>
      </c>
      <c r="G8" s="2" t="n"/>
    </row>
    <row r="9">
      <c r="A9" s="2" t="inlineStr">
        <is>
          <t>UFGS_07_92_0-P0008-008</t>
        </is>
      </c>
      <c r="B9" s="2" t="inlineStr">
        <is>
          <t>UFGS_07_92_00.pdf</t>
        </is>
      </c>
      <c r="C9" s="2" t="n">
        <v>8</v>
      </c>
      <c r="D9" s="2" t="n">
        <v>8</v>
      </c>
      <c r="E9" s="2" t="inlineStr">
        <is>
          <t>Chemically curing sealants should not be used adjacent to or above membrane surfaces of asphaltic or bituminous materials; a sealant based on asphalt or bituminous materials similar to those in the membrane should be used.</t>
        </is>
      </c>
      <c r="F9" s="2" t="inlineStr">
        <is>
          <t>Nē</t>
        </is>
      </c>
      <c r="G9" s="2" t="n"/>
    </row>
    <row r="10">
      <c r="A10" s="2" t="inlineStr">
        <is>
          <t>UFGS_07_92_0-P0008-009</t>
        </is>
      </c>
      <c r="B10" s="2" t="inlineStr">
        <is>
          <t>UFGS_07_92_00.pdf</t>
        </is>
      </c>
      <c r="C10" s="2" t="n">
        <v>8</v>
      </c>
      <c r="D10" s="2" t="n">
        <v>9</v>
      </c>
      <c r="E10" s="2" t="inlineStr">
        <is>
          <t>Since all sealants meeting this specification are not suitable for all applications and substrates, specify applicable type, grade, class, and use(s) for each intended purpose:</t>
        </is>
      </c>
      <c r="F10" s="2" t="inlineStr">
        <is>
          <t>Nē</t>
        </is>
      </c>
      <c r="G10" s="2" t="n"/>
    </row>
    <row r="11">
      <c r="A11" s="2" t="inlineStr">
        <is>
          <t>UFGS_07_92_0-P0008-010</t>
        </is>
      </c>
      <c r="B11" s="2" t="inlineStr">
        <is>
          <t>UFGS_07_92_00.pdf</t>
        </is>
      </c>
      <c r="C11" s="2" t="n">
        <v>8</v>
      </c>
      <c r="D11" s="2" t="n">
        <v>10</v>
      </c>
      <c r="E11" s="2" t="inlineStr">
        <is>
          <t>Type S: Single component</t>
        </is>
      </c>
      <c r="F11" s="2" t="inlineStr">
        <is>
          <t>Nē</t>
        </is>
      </c>
      <c r="G11" s="2" t="n"/>
    </row>
    <row r="12">
      <c r="A12" s="2" t="inlineStr">
        <is>
          <t>UFGS_07_92_0-P0008-011</t>
        </is>
      </c>
      <c r="B12" s="2" t="inlineStr">
        <is>
          <t>UFGS_07_92_00.pdf</t>
        </is>
      </c>
      <c r="C12" s="2" t="n">
        <v>8</v>
      </c>
      <c r="D12" s="2" t="n">
        <v>11</v>
      </c>
      <c r="E12" s="2" t="inlineStr">
        <is>
          <t>Type M: Multi-component</t>
        </is>
      </c>
      <c r="F12" s="2" t="inlineStr">
        <is>
          <t>Nē</t>
        </is>
      </c>
      <c r="G12" s="2" t="n"/>
    </row>
    <row r="13">
      <c r="A13" s="2" t="inlineStr">
        <is>
          <t>UFGS_07_92_0-P0008-012</t>
        </is>
      </c>
      <c r="B13" s="2" t="inlineStr">
        <is>
          <t>UFGS_07_92_00.pdf</t>
        </is>
      </c>
      <c r="C13" s="2" t="n">
        <v>8</v>
      </c>
      <c r="D13" s="2" t="n">
        <v>12</v>
      </c>
      <c r="E13" s="2" t="inlineStr">
        <is>
          <t>Grade P: Pourable or self-leveling sealant for horizontal applications</t>
        </is>
      </c>
      <c r="F13" s="2" t="inlineStr">
        <is>
          <t>Nē</t>
        </is>
      </c>
      <c r="G13" s="2" t="n"/>
    </row>
    <row r="14">
      <c r="A14" s="2" t="inlineStr">
        <is>
          <t>UFGS_07_92_0-P0008-013</t>
        </is>
      </c>
      <c r="B14" s="2" t="inlineStr">
        <is>
          <t>UFGS_07_92_00.pdf</t>
        </is>
      </c>
      <c r="C14" s="2" t="n">
        <v>8</v>
      </c>
      <c r="D14" s="2" t="n">
        <v>13</v>
      </c>
      <c r="E14" s="2" t="inlineStr">
        <is>
          <t>Grade NS: Nonsag for vertical applications</t>
        </is>
      </c>
      <c r="F14" s="2" t="inlineStr">
        <is>
          <t>Nē</t>
        </is>
      </c>
      <c r="G14" s="2" t="n"/>
    </row>
    <row r="15">
      <c r="A15" s="2" t="inlineStr">
        <is>
          <t>UFGS_07_92_0-P0008-014</t>
        </is>
      </c>
      <c r="B15" s="2" t="inlineStr">
        <is>
          <t>UFGS_07_92_00.pdf</t>
        </is>
      </c>
      <c r="C15" s="2" t="n">
        <v>8</v>
      </c>
      <c r="D15" s="2" t="n">
        <v>14</v>
      </c>
      <c r="E15" s="2" t="inlineStr">
        <is>
          <t>Class 25: Withstands increase and decrease of at least 25 percent of joint width</t>
        </is>
      </c>
      <c r="F15" s="2" t="inlineStr">
        <is>
          <t>Nē</t>
        </is>
      </c>
      <c r="G15" s="2" t="n"/>
    </row>
    <row r="16">
      <c r="A16" s="2" t="inlineStr">
        <is>
          <t>UFGS_07_92_0-P0008-015</t>
        </is>
      </c>
      <c r="B16" s="2" t="inlineStr">
        <is>
          <t>UFGS_07_92_00.pdf</t>
        </is>
      </c>
      <c r="C16" s="2" t="n">
        <v>8</v>
      </c>
      <c r="D16" s="2" t="n">
        <v>15</v>
      </c>
      <c r="E16" s="2" t="inlineStr">
        <is>
          <t>Class 12.5: Withstands increase and decrease of at least 12.5 percent of joint width</t>
        </is>
      </c>
      <c r="F16" s="2" t="inlineStr">
        <is>
          <t>Nē</t>
        </is>
      </c>
      <c r="G16" s="2" t="n"/>
    </row>
    <row r="17">
      <c r="A17" s="2" t="inlineStr">
        <is>
          <t>UFGS_07_92_0-P0008-016</t>
        </is>
      </c>
      <c r="B17" s="2" t="inlineStr">
        <is>
          <t>UFGS_07_92_00.pdf</t>
        </is>
      </c>
      <c r="C17" s="2" t="n">
        <v>8</v>
      </c>
      <c r="D17" s="2" t="n">
        <v>16</v>
      </c>
      <c r="E17" s="2" t="inlineStr">
        <is>
          <t>Use T: Pedestrian and vehicular traffic areas such as walkways, plazas, decks, and parking garages</t>
        </is>
      </c>
      <c r="F17" s="2" t="inlineStr">
        <is>
          <t>Nē</t>
        </is>
      </c>
      <c r="G17" s="2" t="n"/>
    </row>
    <row r="18">
      <c r="A18" s="2" t="inlineStr">
        <is>
          <t>UFGS_07_92_0-P0008-017</t>
        </is>
      </c>
      <c r="B18" s="2" t="inlineStr">
        <is>
          <t>UFGS_07_92_00.pdf</t>
        </is>
      </c>
      <c r="C18" s="2" t="n">
        <v>8</v>
      </c>
      <c r="D18" s="2" t="n">
        <v>17</v>
      </c>
      <c r="E18" s="2" t="inlineStr">
        <is>
          <t>Use NT: Non-traffic areas, horizontal and vertical surfaces</t>
        </is>
      </c>
      <c r="F18" s="2" t="inlineStr">
        <is>
          <t>Nē</t>
        </is>
      </c>
      <c r="G18" s="2" t="n"/>
    </row>
    <row r="19">
      <c r="A19" s="2" t="inlineStr">
        <is>
          <t>UFGS_07_92_0-P0008-018</t>
        </is>
      </c>
      <c r="B19" s="2" t="inlineStr">
        <is>
          <t>UFGS_07_92_00.pdf</t>
        </is>
      </c>
      <c r="C19" s="2" t="n">
        <v>8</v>
      </c>
      <c r="D19" s="2" t="n">
        <v>18</v>
      </c>
      <c r="E19" s="2" t="inlineStr">
        <is>
          <t>Use M: Meets this specification when tested on mortar</t>
        </is>
      </c>
      <c r="F19" s="2" t="inlineStr">
        <is>
          <t>Nē</t>
        </is>
      </c>
      <c r="G19" s="2" t="n"/>
    </row>
    <row r="20">
      <c r="A20" s="2" t="inlineStr">
        <is>
          <t>UFGS_07_92_0-P0008-019</t>
        </is>
      </c>
      <c r="B20" s="2" t="inlineStr">
        <is>
          <t>UFGS_07_92_00.pdf</t>
        </is>
      </c>
      <c r="C20" s="2" t="n">
        <v>8</v>
      </c>
      <c r="D20" s="2" t="n">
        <v>19</v>
      </c>
      <c r="E20" s="2" t="inlineStr">
        <is>
          <t>SECTION 07 92 00 Page 8</t>
        </is>
      </c>
      <c r="F20" s="2" t="inlineStr">
        <is>
          <t>Nē</t>
        </is>
      </c>
      <c r="G20" s="2" t="n"/>
    </row>
    <row r="21">
      <c r="A21" s="2" t="inlineStr">
        <is>
          <t>UFGS_07_92_0-P0014-001</t>
        </is>
      </c>
      <c r="B21" s="2" t="inlineStr">
        <is>
          <t>UFGS_07_92_00.pdf</t>
        </is>
      </c>
      <c r="C21" s="2" t="n">
        <v>14</v>
      </c>
      <c r="D21" s="2" t="n">
        <v>1</v>
      </c>
      <c r="E21" s="2" t="inlineStr">
        <is>
          <t>2.4.5 Butyl Rubber Based</t>
        </is>
      </c>
      <c r="F21" s="2" t="inlineStr">
        <is>
          <t>Nē</t>
        </is>
      </c>
      <c r="G21" s="2" t="n"/>
    </row>
    <row r="22">
      <c r="A22" s="2" t="inlineStr">
        <is>
          <t>UFGS_07_92_0-P0014-002</t>
        </is>
      </c>
      <c r="B22" s="2" t="inlineStr">
        <is>
          <t>UFGS_07_92_00.pdf</t>
        </is>
      </c>
      <c r="C22" s="2" t="n">
        <v>14</v>
      </c>
      <c r="D22" s="2" t="n">
        <v>2</v>
      </c>
      <c r="E22" s="2" t="inlineStr">
        <is>
          <t>Provide in accordance with ASTM C1311, from a single component, with solvent release. color[ as selected from manufacturer's full range of color choices] [_____].</t>
        </is>
      </c>
      <c r="F22" s="2" t="inlineStr">
        <is>
          <t>Nē</t>
        </is>
      </c>
      <c r="G22" s="2" t="n"/>
    </row>
    <row r="23">
      <c r="A23" s="2" t="inlineStr">
        <is>
          <t>UFGS_07_92_0-P0014-003</t>
        </is>
      </c>
      <c r="B23" s="2" t="inlineStr">
        <is>
          <t>UFGS_07_92_00.pdf</t>
        </is>
      </c>
      <c r="C23" s="2" t="n">
        <v>14</v>
      </c>
      <c r="D23" s="2" t="n">
        <v>3</v>
      </c>
      <c r="E23" s="2" t="inlineStr">
        <is>
          <t>2.4.6 Silicone Rubber Base</t>
        </is>
      </c>
      <c r="F23" s="2" t="inlineStr">
        <is>
          <t>Nē</t>
        </is>
      </c>
      <c r="G23" s="2" t="n"/>
    </row>
    <row r="24">
      <c r="A24" s="2" t="inlineStr">
        <is>
          <t>UFGS_07_92_0-P0014-004</t>
        </is>
      </c>
      <c r="B24" s="2" t="inlineStr">
        <is>
          <t>UFGS_07_92_00.pdf</t>
        </is>
      </c>
      <c r="C24" s="2" t="n">
        <v>14</v>
      </c>
      <c r="D24" s="2" t="n">
        <v>4</v>
      </c>
      <c r="E24" s="2" t="inlineStr">
        <is>
          <t>Provide in accordance with ASTM C920, from a single component, with solvent release, Non-sag, Type [_____], Grade [_____], Class [25][_____].</t>
        </is>
      </c>
      <c r="F24" s="2" t="inlineStr">
        <is>
          <t>Nē</t>
        </is>
      </c>
      <c r="G24" s="2" t="n"/>
    </row>
    <row r="25">
      <c r="A25" s="2" t="inlineStr">
        <is>
          <t>UFGS_07_92_0-P0014-005</t>
        </is>
      </c>
      <c r="B25" s="2" t="inlineStr">
        <is>
          <t>UFGS_07_92_00.pdf</t>
        </is>
      </c>
      <c r="C25" s="2" t="n">
        <v>14</v>
      </c>
      <c r="D25" s="2" t="n">
        <v>5</v>
      </c>
      <c r="E25" s="2" t="inlineStr">
        <is>
          <t>Color[ as selected from manufacturer's full range of color choices] [_____].</t>
        </is>
      </c>
      <c r="F25" s="2" t="inlineStr">
        <is>
          <t>Nē</t>
        </is>
      </c>
      <c r="G25" s="2" t="n"/>
    </row>
    <row r="26">
      <c r="A26" s="2" t="inlineStr">
        <is>
          <t>UFGS_07_92_0-P0014-006</t>
        </is>
      </c>
      <c r="B26" s="2" t="inlineStr">
        <is>
          <t>UFGS_07_92_00.pdf</t>
        </is>
      </c>
      <c r="C26" s="2" t="n">
        <v>14</v>
      </c>
      <c r="D26" s="2" t="n">
        <v>6</v>
      </c>
      <c r="E26" s="2" t="inlineStr">
        <is>
          <t>2.5 CAULKING</t>
        </is>
      </c>
      <c r="F26" s="2" t="inlineStr">
        <is>
          <t>Nē</t>
        </is>
      </c>
      <c r="G26" s="2" t="n"/>
    </row>
    <row r="27">
      <c r="A27" s="2" t="inlineStr">
        <is>
          <t>UFGS_07_92_0-P0014-007</t>
        </is>
      </c>
      <c r="B27" s="2" t="inlineStr">
        <is>
          <t>UFGS_07_92_00.pdf</t>
        </is>
      </c>
      <c r="C27" s="2" t="n">
        <v>14</v>
      </c>
      <c r="D27" s="2" t="n">
        <v>7</v>
      </c>
      <c r="E27" s="2" t="inlineStr">
        <is>
          <t>NOTE: The term "caulking" is limited herein to oil- and resin-based caulking which should be used only indoors and where there is little or no anticipated joint movement.</t>
        </is>
      </c>
      <c r="F27" s="2" t="inlineStr">
        <is>
          <t>Nē</t>
        </is>
      </c>
      <c r="G27" s="2" t="n"/>
    </row>
    <row r="28">
      <c r="A28" s="2" t="inlineStr">
        <is>
          <t>UFGS_07_92_0-P0014-008</t>
        </is>
      </c>
      <c r="B28" s="2" t="inlineStr">
        <is>
          <t>UFGS_07_92_00.pdf</t>
        </is>
      </c>
      <c r="C28" s="2" t="n">
        <v>14</v>
      </c>
      <c r="D28" s="2" t="n">
        <v>8</v>
      </c>
      <c r="E28" s="2" t="inlineStr">
        <is>
          <t>Use a sealant where joints may move.</t>
        </is>
      </c>
      <c r="F28" s="2" t="inlineStr">
        <is>
          <t>Nē</t>
        </is>
      </c>
      <c r="G28" s="2" t="n"/>
    </row>
    <row r="29">
      <c r="A29" s="2" t="inlineStr">
        <is>
          <t>UFGS_07_92_0-P0014-009</t>
        </is>
      </c>
      <c r="B29" s="2" t="inlineStr">
        <is>
          <t>UFGS_07_92_00.pdf</t>
        </is>
      </c>
      <c r="C29" s="2" t="n">
        <v>14</v>
      </c>
      <c r="D29" s="2" t="n">
        <v>9</v>
      </c>
      <c r="E29" s="2" t="inlineStr">
        <is>
          <t>For interior use and only where there is little or no anticipated joint movement.</t>
        </is>
      </c>
      <c r="F29" s="2" t="inlineStr">
        <is>
          <t>Nē</t>
        </is>
      </c>
      <c r="G29" s="2" t="n"/>
    </row>
    <row r="30">
      <c r="A30" s="2" t="inlineStr">
        <is>
          <t>UFGS_07_92_0-P0014-010</t>
        </is>
      </c>
      <c r="B30" s="2" t="inlineStr">
        <is>
          <t>UFGS_07_92_00.pdf</t>
        </is>
      </c>
      <c r="C30" s="2" t="n">
        <v>14</v>
      </c>
      <c r="D30" s="2" t="n">
        <v>10</v>
      </c>
      <c r="E30" s="2" t="inlineStr">
        <is>
          <t>Provide in accordance with ASTM D2452 and ASTM D2453, Type [_____], for [_____] oil and resin-based caulking.</t>
        </is>
      </c>
      <c r="F30" s="2" t="inlineStr">
        <is>
          <t>Nē</t>
        </is>
      </c>
      <c r="G30" s="2" t="n"/>
    </row>
    <row r="31">
      <c r="A31" s="2" t="inlineStr">
        <is>
          <t>UFGS_07_92_0-P0014-011</t>
        </is>
      </c>
      <c r="B31" s="2" t="inlineStr">
        <is>
          <t>UFGS_07_92_00.pdf</t>
        </is>
      </c>
      <c r="C31" s="2" t="n">
        <v>14</v>
      </c>
      <c r="D31" s="2" t="n">
        <v>11</v>
      </c>
      <c r="E31" s="2" t="inlineStr">
        <is>
          <t>Provide products used on the interior of the building (defined as inside of the weatherproofing system) meeting either emissions requirements of CDPH SECTION 01350 (limit requirements for either office or classroom spaces regardless of space type) or VOC content requirements of SCAQMD Rule 1168.</t>
        </is>
      </c>
      <c r="F31" s="2" t="inlineStr">
        <is>
          <t>Nē</t>
        </is>
      </c>
      <c r="G31" s="2" t="n"/>
    </row>
    <row r="32">
      <c r="A32" s="2" t="inlineStr">
        <is>
          <t>UFGS_07_92_0-P0014-012</t>
        </is>
      </c>
      <c r="B32" s="2" t="inlineStr">
        <is>
          <t>UFGS_07_92_00.pdf</t>
        </is>
      </c>
      <c r="C32" s="2" t="n">
        <v>14</v>
      </c>
      <c r="D32" s="2" t="n">
        <v>12</v>
      </c>
      <c r="E32" s="2" t="inlineStr">
        <is>
          <t>Provide certification or validation of indoor air quality for interior caulking.</t>
        </is>
      </c>
      <c r="F32" s="2" t="inlineStr">
        <is>
          <t>Jā</t>
        </is>
      </c>
      <c r="G32" s="2" t="n"/>
    </row>
    <row r="33">
      <c r="A33" s="2" t="inlineStr">
        <is>
          <t>UFGS_07_92_0-P0014-013</t>
        </is>
      </c>
      <c r="B33" s="2" t="inlineStr">
        <is>
          <t>UFGS_07_92_00.pdf</t>
        </is>
      </c>
      <c r="C33" s="2" t="n">
        <v>14</v>
      </c>
      <c r="D33" s="2" t="n">
        <v>13</v>
      </c>
      <c r="E33" s="2" t="inlineStr">
        <is>
          <t>2.6 CLEANING SOLVENTS</t>
        </is>
      </c>
      <c r="F33" s="2" t="inlineStr">
        <is>
          <t>Nē</t>
        </is>
      </c>
      <c r="G33" s="2" t="n"/>
    </row>
    <row r="34">
      <c r="A34" s="2" t="inlineStr">
        <is>
          <t>UFGS_07_92_0-P0014-014</t>
        </is>
      </c>
      <c r="B34" s="2" t="inlineStr">
        <is>
          <t>UFGS_07_92_00.pdf</t>
        </is>
      </c>
      <c r="C34" s="2" t="n">
        <v>14</v>
      </c>
      <c r="D34" s="2" t="n">
        <v>14</v>
      </c>
      <c r="E34" s="2" t="inlineStr">
        <is>
          <t>Provide type(s) recommended by the sealant manufacturer and in accordance with environmental requirements herein.[ Protect adjacent aluminum and bronze surfaces from solvents].</t>
        </is>
      </c>
      <c r="F34" s="2" t="inlineStr">
        <is>
          <t>Nē</t>
        </is>
      </c>
      <c r="G34" s="2" t="n"/>
    </row>
    <row r="35">
      <c r="A35" s="2" t="inlineStr">
        <is>
          <t>UFGS_07_92_0-P0014-015</t>
        </is>
      </c>
      <c r="B35" s="2" t="inlineStr">
        <is>
          <t>UFGS_07_92_00.pdf</t>
        </is>
      </c>
      <c r="C35" s="2" t="n">
        <v>14</v>
      </c>
      <c r="D35" s="2" t="n">
        <v>15</v>
      </c>
      <c r="E35" s="2" t="inlineStr">
        <is>
          <t>Provide solvents for interior applications that meet the indoor air quality requirements of the paragraph INTERIOR SEALANTS above.</t>
        </is>
      </c>
      <c r="F35" s="2" t="inlineStr">
        <is>
          <t>Nē</t>
        </is>
      </c>
      <c r="G35" s="2" t="n"/>
    </row>
    <row r="36">
      <c r="A36" s="2" t="inlineStr">
        <is>
          <t>UFGS_07_92_0-P0014-016</t>
        </is>
      </c>
      <c r="B36" s="2" t="inlineStr">
        <is>
          <t>UFGS_07_92_00.pdf</t>
        </is>
      </c>
      <c r="C36" s="2" t="n">
        <v>14</v>
      </c>
      <c r="D36" s="2" t="n">
        <v>16</v>
      </c>
      <c r="E36" s="2" t="inlineStr">
        <is>
          <t>PART 3 EXECUTION</t>
        </is>
      </c>
      <c r="F36" s="2" t="inlineStr">
        <is>
          <t>Nē</t>
        </is>
      </c>
      <c r="G36" s="2" t="n"/>
    </row>
    <row r="37">
      <c r="A37" s="2" t="inlineStr">
        <is>
          <t>UFGS_07_92_0-P0014-017</t>
        </is>
      </c>
      <c r="B37" s="2" t="inlineStr">
        <is>
          <t>UFGS_07_92_00.pdf</t>
        </is>
      </c>
      <c r="C37" s="2" t="n">
        <v>14</v>
      </c>
      <c r="D37" s="2" t="n">
        <v>17</v>
      </c>
      <c r="E37" s="2" t="inlineStr">
        <is>
          <t>3.1 FIELD QUALITY CONTROL</t>
        </is>
      </c>
      <c r="F37" s="2" t="inlineStr">
        <is>
          <t>Nē</t>
        </is>
      </c>
      <c r="G37" s="2" t="n"/>
    </row>
    <row r="38">
      <c r="A38" s="2" t="inlineStr">
        <is>
          <t>UFGS_07_92_0-P0014-018</t>
        </is>
      </c>
      <c r="B38" s="2" t="inlineStr">
        <is>
          <t>UFGS_07_92_00.pdf</t>
        </is>
      </c>
      <c r="C38" s="2" t="n">
        <v>14</v>
      </c>
      <c r="D38" s="2" t="n">
        <v>18</v>
      </c>
      <c r="E38" s="2" t="inlineStr">
        <is>
          <t>Perform a field adhesion test in accordance with manufacturer's instructions and ASTM C1193, Method A or ASTM C1521, Method A, Tail Procedure.</t>
        </is>
      </c>
      <c r="F38" s="2" t="inlineStr">
        <is>
          <t>Nē</t>
        </is>
      </c>
      <c r="G38" s="2" t="n"/>
    </row>
    <row r="39">
      <c r="A39" s="2" t="inlineStr">
        <is>
          <t>UFGS_07_92_0-P0014-019</t>
        </is>
      </c>
      <c r="B39" s="2" t="inlineStr">
        <is>
          <t>UFGS_07_92_00.pdf</t>
        </is>
      </c>
      <c r="C39" s="2" t="n">
        <v>14</v>
      </c>
      <c r="D39" s="2" t="n">
        <v>19</v>
      </c>
      <c r="E39" s="2" t="inlineStr">
        <is>
          <t>Remove sealants that fail adhesion testing; clean substrates, reapply sealants, and re-test.</t>
        </is>
      </c>
      <c r="F39" s="2" t="inlineStr">
        <is>
          <t>Nē</t>
        </is>
      </c>
      <c r="G39" s="2" t="n"/>
    </row>
    <row r="40">
      <c r="A40" s="2" t="inlineStr">
        <is>
          <t>UFGS_07_92_0-P0014-020</t>
        </is>
      </c>
      <c r="B40" s="2" t="inlineStr">
        <is>
          <t>UFGS_07_92_00.pdf</t>
        </is>
      </c>
      <c r="C40" s="2" t="n">
        <v>14</v>
      </c>
      <c r="D40" s="2" t="n">
        <v>20</v>
      </c>
      <c r="E40" s="2" t="inlineStr">
        <is>
          <t>Test sealants adjacent to failed sealants.</t>
        </is>
      </c>
      <c r="F40" s="2" t="inlineStr">
        <is>
          <t>Nē</t>
        </is>
      </c>
      <c r="G40" s="2" t="n"/>
    </row>
    <row r="41">
      <c r="A41" s="2" t="inlineStr">
        <is>
          <t>UFGS_07_92_0-P0014-021</t>
        </is>
      </c>
      <c r="B41" s="2" t="inlineStr">
        <is>
          <t>UFGS_07_92_00.pdf</t>
        </is>
      </c>
      <c r="C41" s="2" t="n">
        <v>14</v>
      </c>
      <c r="D41" s="2" t="n">
        <v>21</v>
      </c>
      <c r="E41" s="2" t="inlineStr">
        <is>
          <t>Submit field adhesion test report indicating tests, locations, dates, results, and remedial actions taken.</t>
        </is>
      </c>
      <c r="F41" s="2" t="inlineStr">
        <is>
          <t>Jā</t>
        </is>
      </c>
      <c r="G41" s="2" t="n"/>
    </row>
    <row r="42">
      <c r="A42" s="2" t="inlineStr">
        <is>
          <t>UFGS_07_92_0-P0014-022</t>
        </is>
      </c>
      <c r="B42" s="2" t="inlineStr">
        <is>
          <t>UFGS_07_92_00.pdf</t>
        </is>
      </c>
      <c r="C42" s="2" t="n">
        <v>14</v>
      </c>
      <c r="D42" s="2" t="n">
        <v>22</v>
      </c>
      <c r="E42" s="2" t="inlineStr">
        <is>
          <t>3.2 SURFACE PREPARATION</t>
        </is>
      </c>
      <c r="F42" s="2" t="inlineStr">
        <is>
          <t>Nē</t>
        </is>
      </c>
      <c r="G42" s="2" t="n"/>
    </row>
    <row r="43">
      <c r="A43" s="2" t="inlineStr">
        <is>
          <t>UFGS_07_92_0-P0014-023</t>
        </is>
      </c>
      <c r="B43" s="2" t="inlineStr">
        <is>
          <t>UFGS_07_92_00.pdf</t>
        </is>
      </c>
      <c r="C43" s="2" t="n">
        <v>14</v>
      </c>
      <c r="D43" s="2" t="n">
        <v>23</v>
      </c>
      <c r="E43" s="2" t="inlineStr">
        <is>
          <t>Prepare surfaces according to manufacturer's printed installation instructions.</t>
        </is>
      </c>
      <c r="F43" s="2" t="inlineStr">
        <is>
          <t>Nē</t>
        </is>
      </c>
      <c r="G43" s="2" t="n"/>
    </row>
    <row r="44">
      <c r="A44" s="2" t="inlineStr">
        <is>
          <t>UFGS_07_92_0-P0014-024</t>
        </is>
      </c>
      <c r="B44" s="2" t="inlineStr">
        <is>
          <t>UFGS_07_92_00.pdf</t>
        </is>
      </c>
      <c r="C44" s="2" t="n">
        <v>14</v>
      </c>
      <c r="D44" s="2" t="n">
        <v>24</v>
      </c>
      <c r="E44" s="2" t="inlineStr">
        <is>
          <t>Clean surfaces from dirt, frost, moisture, grease, oil, wax, lacquer, paint, or other foreign matter that would destroy or impair adhesion.</t>
        </is>
      </c>
      <c r="F44" s="2" t="inlineStr">
        <is>
          <t>Nē</t>
        </is>
      </c>
      <c r="G44" s="2" t="n"/>
    </row>
    <row r="45">
      <c r="A45" s="2" t="inlineStr">
        <is>
          <t>UFGS_07_92_0-P0014-025</t>
        </is>
      </c>
      <c r="B45" s="2" t="inlineStr">
        <is>
          <t>UFGS_07_92_00.pdf</t>
        </is>
      </c>
      <c r="C45" s="2" t="n">
        <v>14</v>
      </c>
      <c r="D45" s="2" t="n">
        <v>25</v>
      </c>
      <c r="E45" s="2" t="inlineStr">
        <is>
          <t>Remove oil and grease with solvent; thoroughly remove solvents prior to sealant installation.</t>
        </is>
      </c>
      <c r="F45" s="2" t="inlineStr">
        <is>
          <t>Nē</t>
        </is>
      </c>
      <c r="G45" s="2" t="n"/>
    </row>
    <row r="46">
      <c r="A46" s="2" t="inlineStr">
        <is>
          <t>UFGS_07_92_0-P0014-026</t>
        </is>
      </c>
      <c r="B46" s="2" t="inlineStr">
        <is>
          <t>UFGS_07_92_00.pdf</t>
        </is>
      </c>
      <c r="C46" s="2" t="n">
        <v>14</v>
      </c>
      <c r="D46" s="2" t="n">
        <v>26</v>
      </c>
      <c r="E46" s="2" t="inlineStr">
        <is>
          <t>Wipe surfaces dry with clean cloths.</t>
        </is>
      </c>
      <c r="F46" s="2" t="inlineStr">
        <is>
          <t>Nē</t>
        </is>
      </c>
      <c r="G46" s="2" t="n"/>
    </row>
    <row r="47">
      <c r="A47" s="2" t="inlineStr">
        <is>
          <t>UFGS_07_92_0-P0014-027</t>
        </is>
      </c>
      <c r="B47" s="2" t="inlineStr">
        <is>
          <t>UFGS_07_92_00.pdf</t>
        </is>
      </c>
      <c r="C47" s="2" t="n">
        <v>14</v>
      </c>
      <c r="D47" s="2" t="n">
        <v>27</v>
      </c>
      <c r="E47" s="2" t="inlineStr">
        <is>
          <t>When resealing an existing joint, remove existing caulk or sealant prior to</t>
        </is>
      </c>
      <c r="F47" s="2" t="inlineStr">
        <is>
          <t>Nē</t>
        </is>
      </c>
      <c r="G47" s="2" t="n"/>
    </row>
    <row r="48">
      <c r="A48" s="2" t="inlineStr">
        <is>
          <t>UFGS_07_92_0-P0014-028</t>
        </is>
      </c>
      <c r="B48" s="2" t="inlineStr">
        <is>
          <t>UFGS_07_92_00.pdf</t>
        </is>
      </c>
      <c r="C48" s="2" t="n">
        <v>14</v>
      </c>
      <c r="D48" s="2" t="n">
        <v>28</v>
      </c>
      <c r="E48" s="2" t="inlineStr">
        <is>
          <t>SECTION 07 92 00 Page 14</t>
        </is>
      </c>
      <c r="F48" s="2" t="inlineStr">
        <is>
          <t>Nē</t>
        </is>
      </c>
      <c r="G48" s="2" t="n"/>
    </row>
    <row r="49">
      <c r="A49" s="2" t="inlineStr">
        <is>
          <t>UFGS_23_07_0-P0004-001</t>
        </is>
      </c>
      <c r="B49" s="2" t="inlineStr">
        <is>
          <t>UFGS_23_07_00.pdf</t>
        </is>
      </c>
      <c r="C49" s="2" t="n">
        <v>4</v>
      </c>
      <c r="D49" s="2" t="n">
        <v>1</v>
      </c>
      <c r="E49" s="2" t="inlineStr">
        <is>
          <t>3.3.4 Ducts Handling Air for Dual Purpose 3.3.5 Insulation for Evaporative Cooling Duct 3.3.6 Duct Test Holes 3.3.7 Duct Exposed to Weather 3.3.7.1 Installation 3.3.7.2 Round Duct 3.3.7.3 Fittings 3.3.7.4 Rectangular Ducts 3.3.8 Kitchen Exhaust Duct Insulation</t>
        </is>
      </c>
      <c r="F49" s="2" t="inlineStr">
        <is>
          <t>Nē</t>
        </is>
      </c>
      <c r="G49" s="2" t="n"/>
    </row>
    <row r="50">
      <c r="A50" s="2" t="inlineStr">
        <is>
          <t>UFGS_23_07_0-P0004-002</t>
        </is>
      </c>
      <c r="B50" s="2" t="inlineStr">
        <is>
          <t>UFGS_23_07_00.pdf</t>
        </is>
      </c>
      <c r="C50" s="2" t="n">
        <v>4</v>
      </c>
      <c r="D50" s="2" t="n">
        <v>2</v>
      </c>
      <c r="E50" s="2" t="inlineStr">
        <is>
          <t>3.4 EQUIPMENT INSULATION SYSTEMS INSTALLATION</t>
        </is>
      </c>
      <c r="F50" s="2" t="inlineStr">
        <is>
          <t>Nē</t>
        </is>
      </c>
      <c r="G50" s="2" t="n"/>
    </row>
    <row r="51">
      <c r="A51" s="2" t="inlineStr">
        <is>
          <t>UFGS_23_07_0-P0004-003</t>
        </is>
      </c>
      <c r="B51" s="2" t="inlineStr">
        <is>
          <t>UFGS_23_07_00.pdf</t>
        </is>
      </c>
      <c r="C51" s="2" t="n">
        <v>4</v>
      </c>
      <c r="D51" s="2" t="n">
        <v>3</v>
      </c>
      <c r="E51" s="2" t="inlineStr">
        <is>
          <t>3.4.1 General 3.4.2 Insulation for Cold Equipment 3.4.2.1 Insulation Type 3.4.2.2 Pump Insulation 3.4.2.3 Other Equipment 3.4.2.4 Vapor Retarder/Vapor Barrier 3.4.3 Insulation for Hot Equipment 3.4.3.1 Insulation 3.4.3.2 Insulation of Boiler Stack and Diesel Engine Exhaust Pipe 3.4.3.3 Insulation of Pumps 3.4.3.4 Other Equipment 3.4.4 Equipment Handling Dual Temperature Media 3.4.5 Equipment Exposed to Weather 3.4.5.1 Installation 3.4.5.2 Optional Panels</t>
        </is>
      </c>
      <c r="F51" s="2" t="inlineStr">
        <is>
          <t>Nē</t>
        </is>
      </c>
      <c r="G51" s="2" t="n"/>
    </row>
    <row r="52">
      <c r="A52" s="2" t="inlineStr">
        <is>
          <t>UFGS_23_07_0-P0004-004</t>
        </is>
      </c>
      <c r="B52" s="2" t="inlineStr">
        <is>
          <t>UFGS_23_07_00.pdf</t>
        </is>
      </c>
      <c r="C52" s="2" t="n">
        <v>4</v>
      </c>
      <c r="D52" s="2" t="n">
        <v>4</v>
      </c>
      <c r="E52" s="2" t="inlineStr">
        <is>
          <t>-- End of Section Table of Contents --</t>
        </is>
      </c>
      <c r="F52" s="2" t="inlineStr">
        <is>
          <t>Nē</t>
        </is>
      </c>
      <c r="G52" s="2" t="n"/>
    </row>
    <row r="53">
      <c r="A53" s="2" t="inlineStr">
        <is>
          <t>UFGS_23_07_0-P0004-005</t>
        </is>
      </c>
      <c r="B53" s="2" t="inlineStr">
        <is>
          <t>UFGS_23_07_00.pdf</t>
        </is>
      </c>
      <c r="C53" s="2" t="n">
        <v>4</v>
      </c>
      <c r="D53" s="2" t="n">
        <v>5</v>
      </c>
      <c r="E53" s="2" t="inlineStr">
        <is>
          <t>SECTION 23 07 00 Page 4</t>
        </is>
      </c>
      <c r="F53" s="2" t="inlineStr">
        <is>
          <t>Nē</t>
        </is>
      </c>
      <c r="G53" s="2" t="n"/>
    </row>
    <row r="54">
      <c r="A54" s="2" t="inlineStr">
        <is>
          <t>UFGS_23_07_0-P0006-001</t>
        </is>
      </c>
      <c r="B54" s="2" t="inlineStr">
        <is>
          <t>UFGS_23_07_00.pdf</t>
        </is>
      </c>
      <c r="C54" s="2" t="n">
        <v>6</v>
      </c>
      <c r="D54" s="2" t="n">
        <v>1</v>
      </c>
      <c r="E54" s="2" t="inlineStr">
        <is>
          <t>boxes; and</t>
        </is>
      </c>
      <c r="F54" s="2" t="inlineStr">
        <is>
          <t>Nē</t>
        </is>
      </c>
      <c r="G54" s="2" t="n"/>
    </row>
    <row r="55">
      <c r="A55" s="2" t="inlineStr">
        <is>
          <t>UFGS_23_07_0-P0006-002</t>
        </is>
      </c>
      <c r="B55" s="2" t="inlineStr">
        <is>
          <t>UFGS_23_07_00.pdf</t>
        </is>
      </c>
      <c r="C55" s="2" t="n">
        <v>6</v>
      </c>
      <c r="D55" s="2" t="n">
        <v>2</v>
      </c>
      <c r="E55" s="2" t="inlineStr">
        <is>
          <t>5. Heat exchange temperatures.</t>
        </is>
      </c>
      <c r="F55" s="2" t="inlineStr">
        <is>
          <t>Nē</t>
        </is>
      </c>
      <c r="G55" s="2" t="n"/>
    </row>
    <row r="56">
      <c r="A56" s="2" t="inlineStr">
        <is>
          <t>UFGS_23_07_0-P0006-003</t>
        </is>
      </c>
      <c r="B56" s="2" t="inlineStr">
        <is>
          <t>UFGS_23_07_00.pdf</t>
        </is>
      </c>
      <c r="C56" s="2" t="n">
        <v>6</v>
      </c>
      <c r="D56" s="2" t="n">
        <v>3</v>
      </c>
      <c r="E56" s="2" t="inlineStr">
        <is>
          <t>1.1 REFERENCES</t>
        </is>
      </c>
      <c r="F56" s="2" t="inlineStr">
        <is>
          <t>Nē</t>
        </is>
      </c>
      <c r="G56" s="2" t="n"/>
    </row>
    <row r="57">
      <c r="A57" s="2" t="inlineStr">
        <is>
          <t>UFGS_23_07_0-P0006-004</t>
        </is>
      </c>
      <c r="B57" s="2" t="inlineStr">
        <is>
          <t>UFGS_23_07_00.pdf</t>
        </is>
      </c>
      <c r="C57" s="2" t="n">
        <v>6</v>
      </c>
      <c r="D57" s="2" t="n">
        <v>4</v>
      </c>
      <c r="E57" s="2" t="inlineStr">
        <is>
          <t>NOTE: This paragraph is used to list the publications cited in the text of the guide specification.</t>
        </is>
      </c>
      <c r="F57" s="2" t="inlineStr">
        <is>
          <t>Nē</t>
        </is>
      </c>
      <c r="G57" s="2" t="n"/>
    </row>
    <row r="58">
      <c r="A58" s="2" t="inlineStr">
        <is>
          <t>UFGS_23_07_0-P0006-005</t>
        </is>
      </c>
      <c r="B58" s="2" t="inlineStr">
        <is>
          <t>UFGS_23_07_00.pdf</t>
        </is>
      </c>
      <c r="C58" s="2" t="n">
        <v>6</v>
      </c>
      <c r="D58" s="2" t="n">
        <v>5</v>
      </c>
      <c r="E58" s="2" t="inlineStr">
        <is>
          <t>The publications are referred to in the text by basic designation only and listed in this paragraph by organization, designation, date, and title.</t>
        </is>
      </c>
      <c r="F58" s="2" t="inlineStr">
        <is>
          <t>Nē</t>
        </is>
      </c>
      <c r="G58" s="2" t="n"/>
    </row>
    <row r="59">
      <c r="A59" s="2" t="inlineStr">
        <is>
          <t>UFGS_23_07_0-P0006-006</t>
        </is>
      </c>
      <c r="B59" s="2" t="inlineStr">
        <is>
          <t>UFGS_23_07_00.pdf</t>
        </is>
      </c>
      <c r="C59" s="2" t="n">
        <v>6</v>
      </c>
      <c r="D59" s="2" t="n">
        <v>6</v>
      </c>
      <c r="E59" s="2" t="inlineStr">
        <is>
          <t>Use the Reference Wizard's Check Reference feature when you add a Reference Identifier (RID) outside of the Section's Reference Article to automatically place the reference in the Reference Article.</t>
        </is>
      </c>
      <c r="F59" s="2" t="inlineStr">
        <is>
          <t>Nē</t>
        </is>
      </c>
      <c r="G59" s="2" t="n"/>
    </row>
    <row r="60">
      <c r="A60" s="2" t="inlineStr">
        <is>
          <t>UFGS_23_07_0-P0006-007</t>
        </is>
      </c>
      <c r="B60" s="2" t="inlineStr">
        <is>
          <t>UFGS_23_07_00.pdf</t>
        </is>
      </c>
      <c r="C60" s="2" t="n">
        <v>6</v>
      </c>
      <c r="D60" s="2" t="n">
        <v>7</v>
      </c>
      <c r="E60" s="2" t="inlineStr">
        <is>
          <t>Also use the Reference Wizard's Check Reference feature to update the issue dates.</t>
        </is>
      </c>
      <c r="F60" s="2" t="inlineStr">
        <is>
          <t>Nē</t>
        </is>
      </c>
      <c r="G60" s="2" t="n"/>
    </row>
    <row r="61">
      <c r="A61" s="2" t="inlineStr">
        <is>
          <t>UFGS_23_07_0-P0006-008</t>
        </is>
      </c>
      <c r="B61" s="2" t="inlineStr">
        <is>
          <t>UFGS_23_07_00.pdf</t>
        </is>
      </c>
      <c r="C61" s="2" t="n">
        <v>6</v>
      </c>
      <c r="D61" s="2" t="n">
        <v>8</v>
      </c>
      <c r="E61" s="2" t="inlineStr">
        <is>
          <t>References not used in the text will automatically be deleted from this section of the project specification when you choose to reconcile references in the publish print process.</t>
        </is>
      </c>
      <c r="F61" s="2" t="inlineStr">
        <is>
          <t>Nē</t>
        </is>
      </c>
      <c r="G61" s="2" t="n"/>
    </row>
    <row r="62">
      <c r="A62" s="2" t="inlineStr">
        <is>
          <t>UFGS_23_07_0-P0006-009</t>
        </is>
      </c>
      <c r="B62" s="2" t="inlineStr">
        <is>
          <t>UFGS_23_07_00.pdf</t>
        </is>
      </c>
      <c r="C62" s="2" t="n">
        <v>6</v>
      </c>
      <c r="D62" s="2" t="n">
        <v>9</v>
      </c>
      <c r="E62" s="2" t="inlineStr">
        <is>
          <t>The publications listed below form a part of this specification to the extent referenced.</t>
        </is>
      </c>
      <c r="F62" s="2" t="inlineStr">
        <is>
          <t>Nē</t>
        </is>
      </c>
      <c r="G62" s="2" t="n"/>
    </row>
    <row r="63">
      <c r="A63" s="2" t="inlineStr">
        <is>
          <t>UFGS_23_07_0-P0006-010</t>
        </is>
      </c>
      <c r="B63" s="2" t="inlineStr">
        <is>
          <t>UFGS_23_07_00.pdf</t>
        </is>
      </c>
      <c r="C63" s="2" t="n">
        <v>6</v>
      </c>
      <c r="D63" s="2" t="n">
        <v>10</v>
      </c>
      <c r="E63" s="2" t="inlineStr">
        <is>
          <t>The publications are referred to within the text by the basic designation only.</t>
        </is>
      </c>
      <c r="F63" s="2" t="inlineStr">
        <is>
          <t>Nē</t>
        </is>
      </c>
      <c r="G63" s="2" t="n"/>
    </row>
    <row r="64">
      <c r="A64" s="2" t="inlineStr">
        <is>
          <t>UFGS_23_07_0-P0006-011</t>
        </is>
      </c>
      <c r="B64" s="2" t="inlineStr">
        <is>
          <t>UFGS_23_07_00.pdf</t>
        </is>
      </c>
      <c r="C64" s="2" t="n">
        <v>6</v>
      </c>
      <c r="D64" s="2" t="n">
        <v>11</v>
      </c>
      <c r="E64" s="2" t="inlineStr">
        <is>
          <t>At the discretion of the Government, the manufacturer of any material supplied will be required to furnish test reports pertaining to any of the tests necessary to assure compliance with the standard or standards referenced in this specification.</t>
        </is>
      </c>
      <c r="F64" s="2" t="inlineStr">
        <is>
          <t>?</t>
        </is>
      </c>
      <c r="G64" s="2" t="n"/>
    </row>
    <row r="65">
      <c r="A65" s="2" t="inlineStr">
        <is>
          <t>UFGS_23_07_0-P0006-012</t>
        </is>
      </c>
      <c r="B65" s="2" t="inlineStr">
        <is>
          <t>UFGS_23_07_00.pdf</t>
        </is>
      </c>
      <c r="C65" s="2" t="n">
        <v>6</v>
      </c>
      <c r="D65" s="2" t="n">
        <v>12</v>
      </c>
      <c r="E65" s="2" t="inlineStr">
        <is>
          <t>AMERICAN SOCIETY OF HEATING, REFRIGERATING AND AIR-CONDITIONING</t>
        </is>
      </c>
      <c r="F65" s="2" t="inlineStr">
        <is>
          <t>Nē</t>
        </is>
      </c>
      <c r="G65" s="2" t="n"/>
    </row>
    <row r="66">
      <c r="A66" s="2" t="inlineStr">
        <is>
          <t>UFGS_23_07_0-P0006-013</t>
        </is>
      </c>
      <c r="B66" s="2" t="inlineStr">
        <is>
          <t>UFGS_23_07_00.pdf</t>
        </is>
      </c>
      <c r="C66" s="2" t="n">
        <v>6</v>
      </c>
      <c r="D66" s="2" t="n">
        <v>13</v>
      </c>
      <c r="E66" s="2" t="inlineStr">
        <is>
          <t>ENGINEERS (ASHRAE)</t>
        </is>
      </c>
      <c r="F66" s="2" t="inlineStr">
        <is>
          <t>Nē</t>
        </is>
      </c>
      <c r="G66" s="2" t="n"/>
    </row>
    <row r="67">
      <c r="A67" s="2" t="inlineStr">
        <is>
          <t>UFGS_23_07_0-P0006-014</t>
        </is>
      </c>
      <c r="B67" s="2" t="inlineStr">
        <is>
          <t>UFGS_23_07_00.pdf</t>
        </is>
      </c>
      <c r="C67" s="2" t="n">
        <v>6</v>
      </c>
      <c r="D67" s="2" t="n">
        <v>14</v>
      </c>
      <c r="E67" s="2" t="inlineStr">
        <is>
          <t>ASHRAE 90.1 - IP (2019) Energy Standard for Buildings Except Low-Rise Residential Buildings</t>
        </is>
      </c>
      <c r="F67" s="2" t="inlineStr">
        <is>
          <t>Nē</t>
        </is>
      </c>
      <c r="G67" s="2" t="n"/>
    </row>
    <row r="68">
      <c r="A68" s="2" t="inlineStr">
        <is>
          <t>UFGS_23_07_0-P0006-015</t>
        </is>
      </c>
      <c r="B68" s="2" t="inlineStr">
        <is>
          <t>UFGS_23_07_00.pdf</t>
        </is>
      </c>
      <c r="C68" s="2" t="n">
        <v>6</v>
      </c>
      <c r="D68" s="2" t="n">
        <v>15</v>
      </c>
      <c r="E68" s="2" t="inlineStr">
        <is>
          <t>ASHRAE 90.1 - SI (2019) Energy Standard for Buildings Except Low-Rise Residential Buildings</t>
        </is>
      </c>
      <c r="F68" s="2" t="inlineStr">
        <is>
          <t>Nē</t>
        </is>
      </c>
      <c r="G68" s="2" t="n"/>
    </row>
    <row r="69">
      <c r="A69" s="2" t="inlineStr">
        <is>
          <t>UFGS_23_07_0-P0006-016</t>
        </is>
      </c>
      <c r="B69" s="2" t="inlineStr">
        <is>
          <t>UFGS_23_07_00.pdf</t>
        </is>
      </c>
      <c r="C69" s="2" t="n">
        <v>6</v>
      </c>
      <c r="D69" s="2" t="n">
        <v>16</v>
      </c>
      <c r="E69" s="2" t="inlineStr">
        <is>
          <t>ASHRAE 90.2 (2024;</t>
        </is>
      </c>
      <c r="F69" s="2" t="inlineStr">
        <is>
          <t>Nē</t>
        </is>
      </c>
      <c r="G69" s="2" t="n"/>
    </row>
    <row r="70">
      <c r="A70" s="2" t="inlineStr">
        <is>
          <t>UFGS_23_07_0-P0006-017</t>
        </is>
      </c>
      <c r="B70" s="2" t="inlineStr">
        <is>
          <t>UFGS_23_07_00.pdf</t>
        </is>
      </c>
      <c r="C70" s="2" t="n">
        <v>6</v>
      </c>
      <c r="D70" s="2" t="n">
        <v>17</v>
      </c>
      <c r="E70" s="2" t="inlineStr">
        <is>
          <t>Errata 2024;</t>
        </is>
      </c>
      <c r="F70" s="2" t="inlineStr">
        <is>
          <t>Nē</t>
        </is>
      </c>
      <c r="G70" s="2" t="n"/>
    </row>
    <row r="71">
      <c r="A71" s="2" t="inlineStr">
        <is>
          <t>UFGS_23_07_0-P0006-018</t>
        </is>
      </c>
      <c r="B71" s="2" t="inlineStr">
        <is>
          <t>UFGS_23_07_00.pdf</t>
        </is>
      </c>
      <c r="C71" s="2" t="n">
        <v>6</v>
      </c>
      <c r="D71" s="2" t="n">
        <v>18</v>
      </c>
      <c r="E71" s="2" t="inlineStr">
        <is>
          <t>Errata 2025;</t>
        </is>
      </c>
      <c r="F71" s="2" t="inlineStr">
        <is>
          <t>Nē</t>
        </is>
      </c>
      <c r="G71" s="2" t="n"/>
    </row>
    <row r="72">
      <c r="A72" s="2" t="inlineStr">
        <is>
          <t>UFGS_23_07_0-P0006-019</t>
        </is>
      </c>
      <c r="B72" s="2" t="inlineStr">
        <is>
          <t>UFGS_23_07_00.pdf</t>
        </is>
      </c>
      <c r="C72" s="2" t="n">
        <v>6</v>
      </c>
      <c r="D72" s="2" t="n">
        <v>19</v>
      </c>
      <c r="E72" s="2" t="inlineStr">
        <is>
          <t>Addenda C-D 2026) High-Performance Energy Design of Residential Buildings</t>
        </is>
      </c>
      <c r="F72" s="2" t="inlineStr">
        <is>
          <t>Nē</t>
        </is>
      </c>
      <c r="G72" s="2" t="n"/>
    </row>
    <row r="73">
      <c r="A73" s="2" t="inlineStr">
        <is>
          <t>UFGS_23_07_0-P0006-020</t>
        </is>
      </c>
      <c r="B73" s="2" t="inlineStr">
        <is>
          <t>UFGS_23_07_00.pdf</t>
        </is>
      </c>
      <c r="C73" s="2" t="n">
        <v>6</v>
      </c>
      <c r="D73" s="2" t="n">
        <v>20</v>
      </c>
      <c r="E73" s="2" t="inlineStr">
        <is>
          <t>ASTM INTERNATIONAL (ASTM)</t>
        </is>
      </c>
      <c r="F73" s="2" t="inlineStr">
        <is>
          <t>Nē</t>
        </is>
      </c>
      <c r="G73" s="2" t="n"/>
    </row>
    <row r="74">
      <c r="A74" s="2" t="inlineStr">
        <is>
          <t>UFGS_23_07_0-P0006-021</t>
        </is>
      </c>
      <c r="B74" s="2" t="inlineStr">
        <is>
          <t>UFGS_23_07_00.pdf</t>
        </is>
      </c>
      <c r="C74" s="2" t="n">
        <v>6</v>
      </c>
      <c r="D74" s="2" t="n">
        <v>21</v>
      </c>
      <c r="E74" s="2" t="inlineStr">
        <is>
          <t>ASTM A240/A240M (2025a) Standard Specification for Chromium and Chromium-Nickel Stainless Steel Plate, Sheet, and Strip for Pressure Vessels and for General Applications</t>
        </is>
      </c>
      <c r="F74" s="2" t="inlineStr">
        <is>
          <t>Nē</t>
        </is>
      </c>
      <c r="G74" s="2" t="n"/>
    </row>
    <row r="75">
      <c r="A75" s="2" t="inlineStr">
        <is>
          <t>UFGS_23_07_0-P0006-022</t>
        </is>
      </c>
      <c r="B75" s="2" t="inlineStr">
        <is>
          <t>UFGS_23_07_00.pdf</t>
        </is>
      </c>
      <c r="C75" s="2" t="n">
        <v>6</v>
      </c>
      <c r="D75" s="2" t="n">
        <v>22</v>
      </c>
      <c r="E75" s="2" t="inlineStr">
        <is>
          <t>ASTM A580/A580M (2023) Standard Specification for Stainless Steel Wire</t>
        </is>
      </c>
      <c r="F75" s="2" t="inlineStr">
        <is>
          <t>Nē</t>
        </is>
      </c>
      <c r="G75" s="2" t="n"/>
    </row>
    <row r="76">
      <c r="A76" s="2" t="inlineStr">
        <is>
          <t>UFGS_23_07_0-P0006-023</t>
        </is>
      </c>
      <c r="B76" s="2" t="inlineStr">
        <is>
          <t>UFGS_23_07_00.pdf</t>
        </is>
      </c>
      <c r="C76" s="2" t="n">
        <v>6</v>
      </c>
      <c r="D76" s="2" t="n">
        <v>23</v>
      </c>
      <c r="E76" s="2" t="inlineStr">
        <is>
          <t>ASTM B209 (2014) Standard Specification for Aluminum</t>
        </is>
      </c>
      <c r="F76" s="2" t="inlineStr">
        <is>
          <t>Nē</t>
        </is>
      </c>
      <c r="G76" s="2" t="n"/>
    </row>
    <row r="77">
      <c r="A77" s="2" t="inlineStr">
        <is>
          <t>UFGS_23_07_0-P0006-024</t>
        </is>
      </c>
      <c r="B77" s="2" t="inlineStr">
        <is>
          <t>UFGS_23_07_00.pdf</t>
        </is>
      </c>
      <c r="C77" s="2" t="n">
        <v>6</v>
      </c>
      <c r="D77" s="2" t="n">
        <v>24</v>
      </c>
      <c r="E77" s="2" t="inlineStr">
        <is>
          <t>SECTION 23 07 00 Page 6</t>
        </is>
      </c>
      <c r="F77" s="2" t="inlineStr">
        <is>
          <t>Nē</t>
        </is>
      </c>
      <c r="G77" s="2" t="n"/>
    </row>
    <row r="78">
      <c r="A78" s="2" t="inlineStr">
        <is>
          <t>UFGS_23_07_0-P0009-001</t>
        </is>
      </c>
      <c r="B78" s="2" t="inlineStr">
        <is>
          <t>UFGS_23_07_00.pdf</t>
        </is>
      </c>
      <c r="C78" s="2" t="n">
        <v>9</v>
      </c>
      <c r="D78" s="2" t="n">
        <v>1</v>
      </c>
      <c r="E78" s="2" t="inlineStr">
        <is>
          <t>CALIFORNIA DEPARTMENT OF PUBLIC HEALTH (CDPH)</t>
        </is>
      </c>
      <c r="F78" s="2" t="inlineStr">
        <is>
          <t>Nē</t>
        </is>
      </c>
      <c r="G78" s="2" t="n"/>
    </row>
    <row r="79">
      <c r="A79" s="2" t="inlineStr">
        <is>
          <t>UFGS_23_07_0-P0009-002</t>
        </is>
      </c>
      <c r="B79" s="2" t="inlineStr">
        <is>
          <t>UFGS_23_07_00.pdf</t>
        </is>
      </c>
      <c r="C79" s="2" t="n">
        <v>9</v>
      </c>
      <c r="D79" s="2" t="n">
        <v>2</v>
      </c>
      <c r="E79" s="2" t="inlineStr">
        <is>
          <t>CDPH SECTION 01350 (2017;</t>
        </is>
      </c>
      <c r="F79" s="2" t="inlineStr">
        <is>
          <t>Nē</t>
        </is>
      </c>
      <c r="G79" s="2" t="n"/>
    </row>
    <row r="80">
      <c r="A80" s="2" t="inlineStr">
        <is>
          <t>UFGS_23_07_0-P0009-003</t>
        </is>
      </c>
      <c r="B80" s="2" t="inlineStr">
        <is>
          <t>UFGS_23_07_00.pdf</t>
        </is>
      </c>
      <c r="C80" s="2" t="n">
        <v>9</v>
      </c>
      <c r="D80" s="2" t="n">
        <v>3</v>
      </c>
      <c r="E80" s="2" t="inlineStr">
        <is>
          <t>Version 1.2) Standard Method for the Testing and Evaluation of Volatile Organic Chemical Emissions from Indoor Sources using Environmental Chambers</t>
        </is>
      </c>
      <c r="F80" s="2" t="inlineStr">
        <is>
          <t>Nē</t>
        </is>
      </c>
      <c r="G80" s="2" t="n"/>
    </row>
    <row r="81">
      <c r="A81" s="2" t="inlineStr">
        <is>
          <t>UFGS_23_07_0-P0009-004</t>
        </is>
      </c>
      <c r="B81" s="2" t="inlineStr">
        <is>
          <t>UFGS_23_07_00.pdf</t>
        </is>
      </c>
      <c r="C81" s="2" t="n">
        <v>9</v>
      </c>
      <c r="D81" s="2" t="n">
        <v>4</v>
      </c>
      <c r="E81" s="2" t="inlineStr">
        <is>
          <t>FM GLOBAL (FM)</t>
        </is>
      </c>
      <c r="F81" s="2" t="inlineStr">
        <is>
          <t>Nē</t>
        </is>
      </c>
      <c r="G81" s="2" t="n"/>
    </row>
    <row r="82">
      <c r="A82" s="2" t="inlineStr">
        <is>
          <t>UFGS_23_07_0-P0009-005</t>
        </is>
      </c>
      <c r="B82" s="2" t="inlineStr">
        <is>
          <t>UFGS_23_07_00.pdf</t>
        </is>
      </c>
      <c r="C82" s="2" t="n">
        <v>9</v>
      </c>
      <c r="D82" s="2" t="n">
        <v>5</v>
      </c>
      <c r="E82" s="2" t="inlineStr">
        <is>
          <t>FM APP GUIDE (updated on-line) Approval Guide https://www.approvalguide.com/</t>
        </is>
      </c>
      <c r="F82" s="2" t="inlineStr">
        <is>
          <t>Nē</t>
        </is>
      </c>
      <c r="G82" s="2" t="n"/>
    </row>
    <row r="83">
      <c r="A83" s="2" t="inlineStr">
        <is>
          <t>UFGS_23_07_0-P0009-006</t>
        </is>
      </c>
      <c r="B83" s="2" t="inlineStr">
        <is>
          <t>UFGS_23_07_00.pdf</t>
        </is>
      </c>
      <c r="C83" s="2" t="n">
        <v>9</v>
      </c>
      <c r="D83" s="2" t="n">
        <v>6</v>
      </c>
      <c r="E83" s="2" t="inlineStr">
        <is>
          <t>GREEN SEAL (GS)</t>
        </is>
      </c>
      <c r="F83" s="2" t="inlineStr">
        <is>
          <t>Nē</t>
        </is>
      </c>
      <c r="G83" s="2" t="n"/>
    </row>
    <row r="84">
      <c r="A84" s="2" t="inlineStr">
        <is>
          <t>UFGS_23_07_0-P0009-007</t>
        </is>
      </c>
      <c r="B84" s="2" t="inlineStr">
        <is>
          <t>UFGS_23_07_00.pdf</t>
        </is>
      </c>
      <c r="C84" s="2" t="n">
        <v>9</v>
      </c>
      <c r="D84" s="2" t="n">
        <v>7</v>
      </c>
      <c r="E84" s="2" t="inlineStr">
        <is>
          <t>GS-36 (2025) Adhesives for Commercial Use</t>
        </is>
      </c>
      <c r="F84" s="2" t="inlineStr">
        <is>
          <t>Nē</t>
        </is>
      </c>
      <c r="G84" s="2" t="n"/>
    </row>
    <row r="85">
      <c r="A85" s="2" t="inlineStr">
        <is>
          <t>UFGS_23_07_0-P0009-008</t>
        </is>
      </c>
      <c r="B85" s="2" t="inlineStr">
        <is>
          <t>UFGS_23_07_00.pdf</t>
        </is>
      </c>
      <c r="C85" s="2" t="n">
        <v>9</v>
      </c>
      <c r="D85" s="2" t="n">
        <v>8</v>
      </c>
      <c r="E85" s="2" t="inlineStr">
        <is>
          <t>INTERNATIONAL ORGANIZATION FOR STANDARDIZATION (ISO)</t>
        </is>
      </c>
      <c r="F85" s="2" t="inlineStr">
        <is>
          <t>Nē</t>
        </is>
      </c>
      <c r="G85" s="2" t="n"/>
    </row>
    <row r="86">
      <c r="A86" s="2" t="inlineStr">
        <is>
          <t>UFGS_23_07_0-P0009-009</t>
        </is>
      </c>
      <c r="B86" s="2" t="inlineStr">
        <is>
          <t>UFGS_23_07_00.pdf</t>
        </is>
      </c>
      <c r="C86" s="2" t="n">
        <v>9</v>
      </c>
      <c r="D86" s="2" t="n">
        <v>9</v>
      </c>
      <c r="E86" s="2" t="inlineStr">
        <is>
          <t>ISO 2758 (2014) Paper - Determination of Bursting Strength</t>
        </is>
      </c>
      <c r="F86" s="2" t="inlineStr">
        <is>
          <t>Nē</t>
        </is>
      </c>
      <c r="G86" s="2" t="n"/>
    </row>
    <row r="87">
      <c r="A87" s="2" t="inlineStr">
        <is>
          <t>UFGS_23_07_0-P0009-010</t>
        </is>
      </c>
      <c r="B87" s="2" t="inlineStr">
        <is>
          <t>UFGS_23_07_00.pdf</t>
        </is>
      </c>
      <c r="C87" s="2" t="n">
        <v>9</v>
      </c>
      <c r="D87" s="2" t="n">
        <v>10</v>
      </c>
      <c r="E87" s="2" t="inlineStr">
        <is>
          <t>MANUFACTURERS STANDARDIZATION SOCIETY OF THE VALVE AND FITTINGS</t>
        </is>
      </c>
      <c r="F87" s="2" t="inlineStr">
        <is>
          <t>Nē</t>
        </is>
      </c>
      <c r="G87" s="2" t="n"/>
    </row>
    <row r="88">
      <c r="A88" s="2" t="inlineStr">
        <is>
          <t>UFGS_23_07_0-P0009-011</t>
        </is>
      </c>
      <c r="B88" s="2" t="inlineStr">
        <is>
          <t>UFGS_23_07_00.pdf</t>
        </is>
      </c>
      <c r="C88" s="2" t="n">
        <v>9</v>
      </c>
      <c r="D88" s="2" t="n">
        <v>11</v>
      </c>
      <c r="E88" s="2" t="inlineStr">
        <is>
          <t>INDUSTRY (MSS)</t>
        </is>
      </c>
      <c r="F88" s="2" t="inlineStr">
        <is>
          <t>Nē</t>
        </is>
      </c>
      <c r="G88" s="2" t="n"/>
    </row>
    <row r="89">
      <c r="A89" s="2" t="inlineStr">
        <is>
          <t>UFGS_23_07_0-P0009-012</t>
        </is>
      </c>
      <c r="B89" s="2" t="inlineStr">
        <is>
          <t>UFGS_23_07_00.pdf</t>
        </is>
      </c>
      <c r="C89" s="2" t="n">
        <v>9</v>
      </c>
      <c r="D89" s="2" t="n">
        <v>12</v>
      </c>
      <c r="E89" s="2" t="inlineStr">
        <is>
          <t>MSS SP-58 (2025) Pipe Hangers and Supports - Materials, Design and Manufacture, Selection, Application, and Installation</t>
        </is>
      </c>
      <c r="F89" s="2" t="inlineStr">
        <is>
          <t>Nē</t>
        </is>
      </c>
      <c r="G89" s="2" t="n"/>
    </row>
    <row r="90">
      <c r="A90" s="2" t="inlineStr">
        <is>
          <t>UFGS_23_07_0-P0009-013</t>
        </is>
      </c>
      <c r="B90" s="2" t="inlineStr">
        <is>
          <t>UFGS_23_07_00.pdf</t>
        </is>
      </c>
      <c r="C90" s="2" t="n">
        <v>9</v>
      </c>
      <c r="D90" s="2" t="n">
        <v>13</v>
      </c>
      <c r="E90" s="2" t="inlineStr">
        <is>
          <t>MIDWEST INSULATION CONTRACTORS ASSOCIATION (MICA)</t>
        </is>
      </c>
      <c r="F90" s="2" t="inlineStr">
        <is>
          <t>Nē</t>
        </is>
      </c>
      <c r="G90" s="2" t="n"/>
    </row>
    <row r="91">
      <c r="A91" s="2" t="inlineStr">
        <is>
          <t>UFGS_23_07_0-P0009-014</t>
        </is>
      </c>
      <c r="B91" s="2" t="inlineStr">
        <is>
          <t>UFGS_23_07_00.pdf</t>
        </is>
      </c>
      <c r="C91" s="2" t="n">
        <v>9</v>
      </c>
      <c r="D91" s="2" t="n">
        <v>14</v>
      </c>
      <c r="E91" s="2" t="inlineStr">
        <is>
          <t>MICA Insulation Stds (8th Ed) National Commercial &amp; Industrial Insulation Standards</t>
        </is>
      </c>
      <c r="F91" s="2" t="inlineStr">
        <is>
          <t>Nē</t>
        </is>
      </c>
      <c r="G91" s="2" t="n"/>
    </row>
    <row r="92">
      <c r="A92" s="2" t="inlineStr">
        <is>
          <t>UFGS_23_07_0-P0009-015</t>
        </is>
      </c>
      <c r="B92" s="2" t="inlineStr">
        <is>
          <t>UFGS_23_07_00.pdf</t>
        </is>
      </c>
      <c r="C92" s="2" t="n">
        <v>9</v>
      </c>
      <c r="D92" s="2" t="n">
        <v>15</v>
      </c>
      <c r="E92" s="2" t="inlineStr">
        <is>
          <t>NATIONAL FIRE PROTECTION ASSOCIATION (NFPA)</t>
        </is>
      </c>
      <c r="F92" s="2" t="inlineStr">
        <is>
          <t>Nē</t>
        </is>
      </c>
      <c r="G92" s="2" t="n"/>
    </row>
    <row r="93">
      <c r="A93" s="2" t="inlineStr">
        <is>
          <t>UFGS_23_07_0-P0009-016</t>
        </is>
      </c>
      <c r="B93" s="2" t="inlineStr">
        <is>
          <t>UFGS_23_07_00.pdf</t>
        </is>
      </c>
      <c r="C93" s="2" t="n">
        <v>9</v>
      </c>
      <c r="D93" s="2" t="n">
        <v>16</v>
      </c>
      <c r="E93" s="2" t="inlineStr">
        <is>
          <t>NFPA 90A (2024) Standard for the Installation of Air Conditioning and Ventilating Systems</t>
        </is>
      </c>
      <c r="F93" s="2" t="inlineStr">
        <is>
          <t>Nē</t>
        </is>
      </c>
      <c r="G93" s="2" t="n"/>
    </row>
    <row r="94">
      <c r="A94" s="2" t="inlineStr">
        <is>
          <t>UFGS_23_07_0-P0009-017</t>
        </is>
      </c>
      <c r="B94" s="2" t="inlineStr">
        <is>
          <t>UFGS_23_07_00.pdf</t>
        </is>
      </c>
      <c r="C94" s="2" t="n">
        <v>9</v>
      </c>
      <c r="D94" s="2" t="n">
        <v>17</v>
      </c>
      <c r="E94" s="2" t="inlineStr">
        <is>
          <t>NFPA 90B (2024) Standard for the Installation of Warm Air Heating and Air Conditioning Systems</t>
        </is>
      </c>
      <c r="F94" s="2" t="inlineStr">
        <is>
          <t>Nē</t>
        </is>
      </c>
      <c r="G94" s="2" t="n"/>
    </row>
    <row r="95">
      <c r="A95" s="2" t="inlineStr">
        <is>
          <t>UFGS_23_07_0-P0009-018</t>
        </is>
      </c>
      <c r="B95" s="2" t="inlineStr">
        <is>
          <t>UFGS_23_07_00.pdf</t>
        </is>
      </c>
      <c r="C95" s="2" t="n">
        <v>9</v>
      </c>
      <c r="D95" s="2" t="n">
        <v>18</v>
      </c>
      <c r="E95" s="2" t="inlineStr">
        <is>
          <t>NFPA 96 (2024) Standard for Ventilation Control and Fire Protection of Commercial Cooking Operations</t>
        </is>
      </c>
      <c r="F95" s="2" t="inlineStr">
        <is>
          <t>Nē</t>
        </is>
      </c>
      <c r="G95" s="2" t="n"/>
    </row>
    <row r="96">
      <c r="A96" s="2" t="inlineStr">
        <is>
          <t>UFGS_23_07_0-P0009-019</t>
        </is>
      </c>
      <c r="B96" s="2" t="inlineStr">
        <is>
          <t>UFGS_23_07_00.pdf</t>
        </is>
      </c>
      <c r="C96" s="2" t="n">
        <v>9</v>
      </c>
      <c r="D96" s="2" t="n">
        <v>19</v>
      </c>
      <c r="E96" s="2" t="inlineStr">
        <is>
          <t>SCIENTIFIC CERTIFICATION SYSTEMS (SCS)</t>
        </is>
      </c>
      <c r="F96" s="2" t="inlineStr">
        <is>
          <t>Nē</t>
        </is>
      </c>
      <c r="G96" s="2" t="n"/>
    </row>
    <row r="97">
      <c r="A97" s="2" t="inlineStr">
        <is>
          <t>UFGS_23_07_0-P0009-020</t>
        </is>
      </c>
      <c r="B97" s="2" t="inlineStr">
        <is>
          <t>UFGS_23_07_00.pdf</t>
        </is>
      </c>
      <c r="C97" s="2" t="n">
        <v>9</v>
      </c>
      <c r="D97" s="2" t="n">
        <v>20</v>
      </c>
      <c r="E97" s="2" t="inlineStr">
        <is>
          <t>SCS SCS Global Services (SCS) Indoor Advantage</t>
        </is>
      </c>
      <c r="F97" s="2" t="inlineStr">
        <is>
          <t>Nē</t>
        </is>
      </c>
      <c r="G97" s="2" t="n"/>
    </row>
    <row r="98">
      <c r="A98" s="2" t="inlineStr">
        <is>
          <t>UFGS_23_07_0-P0009-021</t>
        </is>
      </c>
      <c r="B98" s="2" t="inlineStr">
        <is>
          <t>UFGS_23_07_00.pdf</t>
        </is>
      </c>
      <c r="C98" s="2" t="n">
        <v>9</v>
      </c>
      <c r="D98" s="2" t="n">
        <v>21</v>
      </c>
      <c r="E98" s="2" t="inlineStr">
        <is>
          <t>SOUTH COAST AIR QUALITY MANAGEMENT DISTRICT (SCAQMD)</t>
        </is>
      </c>
      <c r="F98" s="2" t="inlineStr">
        <is>
          <t>Nē</t>
        </is>
      </c>
      <c r="G98" s="2" t="n"/>
    </row>
    <row r="99">
      <c r="A99" s="2" t="inlineStr">
        <is>
          <t>UFGS_23_07_0-P0009-022</t>
        </is>
      </c>
      <c r="B99" s="2" t="inlineStr">
        <is>
          <t>UFGS_23_07_00.pdf</t>
        </is>
      </c>
      <c r="C99" s="2" t="n">
        <v>9</v>
      </c>
      <c r="D99" s="2" t="n">
        <v>22</v>
      </c>
      <c r="E99" s="2" t="inlineStr">
        <is>
          <t>SCAQMD Rule 1168 (2022) Adhesive and Sealant Applications</t>
        </is>
      </c>
      <c r="F99" s="2" t="inlineStr">
        <is>
          <t>Nē</t>
        </is>
      </c>
      <c r="G99" s="2" t="n"/>
    </row>
    <row r="100">
      <c r="A100" s="2" t="inlineStr">
        <is>
          <t>UFGS_23_07_0-P0009-023</t>
        </is>
      </c>
      <c r="B100" s="2" t="inlineStr">
        <is>
          <t>UFGS_23_07_00.pdf</t>
        </is>
      </c>
      <c r="C100" s="2" t="n">
        <v>9</v>
      </c>
      <c r="D100" s="2" t="n">
        <v>23</v>
      </c>
      <c r="E100" s="2" t="inlineStr">
        <is>
          <t>TECHNICAL ASSOCIATION OF THE PULP AND PAPER INDUSTRY (TAPPI)</t>
        </is>
      </c>
      <c r="F100" s="2" t="inlineStr">
        <is>
          <t>Nē</t>
        </is>
      </c>
      <c r="G100" s="2" t="n"/>
    </row>
    <row r="101">
      <c r="A101" s="2" t="inlineStr">
        <is>
          <t>UFGS_23_07_0-P0009-024</t>
        </is>
      </c>
      <c r="B101" s="2" t="inlineStr">
        <is>
          <t>UFGS_23_07_00.pdf</t>
        </is>
      </c>
      <c r="C101" s="2" t="n">
        <v>9</v>
      </c>
      <c r="D101" s="2" t="n">
        <v>24</v>
      </c>
      <c r="E101" s="2" t="inlineStr">
        <is>
          <t>TAPPI T403 OM (2022) Bursting Strength of Paper</t>
        </is>
      </c>
      <c r="F101" s="2" t="inlineStr">
        <is>
          <t>Nē</t>
        </is>
      </c>
      <c r="G101" s="2" t="n"/>
    </row>
    <row r="102">
      <c r="A102" s="2" t="inlineStr">
        <is>
          <t>UFGS_23_07_0-P0009-025</t>
        </is>
      </c>
      <c r="B102" s="2" t="inlineStr">
        <is>
          <t>UFGS_23_07_00.pdf</t>
        </is>
      </c>
      <c r="C102" s="2" t="n">
        <v>9</v>
      </c>
      <c r="D102" s="2" t="n">
        <v>25</v>
      </c>
      <c r="E102" s="2" t="inlineStr">
        <is>
          <t>SECTION 23 07 00 Page 9</t>
        </is>
      </c>
      <c r="F102" s="2" t="inlineStr">
        <is>
          <t>Nē</t>
        </is>
      </c>
      <c r="G102" s="2" t="n"/>
    </row>
    <row r="103">
      <c r="A103" s="2" t="inlineStr">
        <is>
          <t>UFGS_23_07_0-P0021-001</t>
        </is>
      </c>
      <c r="B103" s="2" t="inlineStr">
        <is>
          <t>UFGS_23_07_00.pdf</t>
        </is>
      </c>
      <c r="C103" s="2" t="n">
        <v>21</v>
      </c>
      <c r="D103" s="2" t="n">
        <v>1</v>
      </c>
      <c r="E103" s="2" t="inlineStr">
        <is>
          <t>suitable for chilled water applications.</t>
        </is>
      </c>
      <c r="F103" s="2" t="inlineStr">
        <is>
          <t>Nē</t>
        </is>
      </c>
      <c r="G103" s="2" t="n"/>
    </row>
    <row r="104">
      <c r="A104" s="2" t="inlineStr">
        <is>
          <t>UFGS_23_07_0-P0021-002</t>
        </is>
      </c>
      <c r="B104" s="2" t="inlineStr">
        <is>
          <t>UFGS_23_07_00.pdf</t>
        </is>
      </c>
      <c r="C104" s="2" t="n">
        <v>21</v>
      </c>
      <c r="D104" s="2" t="n">
        <v>2</v>
      </c>
      <c r="E104" s="2" t="inlineStr">
        <is>
          <t>Calcium silicate can not be used on chilled or cold water systems.</t>
        </is>
      </c>
      <c r="F104" s="2" t="inlineStr">
        <is>
          <t>Nē</t>
        </is>
      </c>
      <c r="G104" s="2" t="n"/>
    </row>
    <row r="105">
      <c r="A105" s="2" t="inlineStr">
        <is>
          <t>UFGS_23_07_0-P0021-003</t>
        </is>
      </c>
      <c r="B105" s="2" t="inlineStr">
        <is>
          <t>UFGS_23_07_00.pdf</t>
        </is>
      </c>
      <c r="C105" s="2" t="n">
        <v>21</v>
      </c>
      <c r="D105" s="2" t="n">
        <v>3</v>
      </c>
      <c r="E105" s="2" t="inlineStr">
        <is>
          <t>Minimum thickness recommended for cellular glass insulation is 40 mm 1.5 inches.</t>
        </is>
      </c>
      <c r="F105" s="2" t="inlineStr">
        <is>
          <t>Nē</t>
        </is>
      </c>
      <c r="G105" s="2" t="n"/>
    </row>
    <row r="106">
      <c r="A106" s="2" t="inlineStr">
        <is>
          <t>UFGS_23_07_0-P0021-004</t>
        </is>
      </c>
      <c r="B106" s="2" t="inlineStr">
        <is>
          <t>UFGS_23_07_00.pdf</t>
        </is>
      </c>
      <c r="C106" s="2" t="n">
        <v>21</v>
      </c>
      <c r="D106" s="2" t="n">
        <v>4</v>
      </c>
      <c r="E106" s="2" t="inlineStr">
        <is>
          <t>The reason is that the breakage rate during shipment of 25 mm 1 inch thick cellular insulation is too high to be economical.</t>
        </is>
      </c>
      <c r="F106" s="2" t="inlineStr">
        <is>
          <t>Nē</t>
        </is>
      </c>
      <c r="G106" s="2" t="n"/>
    </row>
    <row r="107">
      <c r="A107" s="2" t="inlineStr">
        <is>
          <t>UFGS_23_07_0-P0021-005</t>
        </is>
      </c>
      <c r="B107" s="2" t="inlineStr">
        <is>
          <t>UFGS_23_07_00.pdf</t>
        </is>
      </c>
      <c r="C107" s="2" t="n">
        <v>21</v>
      </c>
      <c r="D107" s="2" t="n">
        <v>5</v>
      </c>
      <c r="E107" s="2" t="inlineStr">
        <is>
          <t>Design the insulation thickness based on worst case ambient conditions, such as a humid environment.</t>
        </is>
      </c>
      <c r="F107" s="2" t="inlineStr">
        <is>
          <t>Nē</t>
        </is>
      </c>
      <c r="G107" s="2" t="n"/>
    </row>
    <row r="108">
      <c r="A108" s="2" t="inlineStr">
        <is>
          <t>UFGS_23_07_0-P0021-006</t>
        </is>
      </c>
      <c r="B108" s="2" t="inlineStr">
        <is>
          <t>UFGS_23_07_00.pdf</t>
        </is>
      </c>
      <c r="C108" s="2" t="n">
        <v>21</v>
      </c>
      <c r="D108" s="2" t="n">
        <v>6</v>
      </c>
      <c r="E108" s="2" t="inlineStr">
        <is>
          <t>Vapor Barrier Jacket for elastomeric and cellular glass are very suitable for chilled water.</t>
        </is>
      </c>
      <c r="F108" s="2" t="inlineStr">
        <is>
          <t>Nē</t>
        </is>
      </c>
      <c r="G108" s="2" t="n"/>
    </row>
    <row r="109">
      <c r="A109" s="2" t="inlineStr">
        <is>
          <t>UFGS_23_07_0-P0021-007</t>
        </is>
      </c>
      <c r="B109" s="2" t="inlineStr">
        <is>
          <t>UFGS_23_07_00.pdf</t>
        </is>
      </c>
      <c r="C109" s="2" t="n">
        <v>21</v>
      </c>
      <c r="D109" s="2" t="n">
        <v>7</v>
      </c>
      <c r="E109" s="2" t="inlineStr">
        <is>
          <t>For NAVFAC LANT projects, delete the option of 13 mm 1/2 inch from line 4 of the following paragraph.</t>
        </is>
      </c>
      <c r="F109" s="2" t="inlineStr">
        <is>
          <t>Nē</t>
        </is>
      </c>
      <c r="G109" s="2" t="n"/>
    </row>
    <row r="110">
      <c r="A110" s="2" t="inlineStr">
        <is>
          <t>UFGS_23_07_0-P0021-008</t>
        </is>
      </c>
      <c r="B110" s="2" t="inlineStr">
        <is>
          <t>UFGS_23_07_00.pdf</t>
        </is>
      </c>
      <c r="C110" s="2" t="n">
        <v>21</v>
      </c>
      <c r="D110" s="2" t="n">
        <v>8</v>
      </c>
      <c r="E110" s="2" t="inlineStr">
        <is>
          <t>ASHRAE 90.2 is for low-rise residential building.</t>
        </is>
      </c>
      <c r="F110" s="2" t="inlineStr">
        <is>
          <t>Nē</t>
        </is>
      </c>
      <c r="G110" s="2" t="n"/>
    </row>
    <row r="111">
      <c r="A111" s="2" t="inlineStr">
        <is>
          <t>UFGS_23_07_0-P0021-009</t>
        </is>
      </c>
      <c r="B111" s="2" t="inlineStr">
        <is>
          <t>UFGS_23_07_00.pdf</t>
        </is>
      </c>
      <c r="C111" s="2" t="n">
        <v>21</v>
      </c>
      <c r="D111" s="2" t="n">
        <v>9</v>
      </c>
      <c r="E111" s="2" t="inlineStr">
        <is>
          <t>ASHRAE 90.1 is for all buildings except low-rise residential buildings.</t>
        </is>
      </c>
      <c r="F111" s="2" t="inlineStr">
        <is>
          <t>Nē</t>
        </is>
      </c>
      <c r="G111" s="2" t="n"/>
    </row>
    <row r="112">
      <c r="A112" s="2" t="inlineStr">
        <is>
          <t>UFGS_23_07_0-P0021-010</t>
        </is>
      </c>
      <c r="B112" s="2" t="inlineStr">
        <is>
          <t>UFGS_23_07_00.pdf</t>
        </is>
      </c>
      <c r="C112" s="2" t="n">
        <v>21</v>
      </c>
      <c r="D112" s="2" t="n">
        <v>10</v>
      </c>
      <c r="E112" s="2" t="inlineStr">
        <is>
          <t>Low-rise building has one or two stories without elevators.</t>
        </is>
      </c>
      <c r="F112" s="2" t="inlineStr">
        <is>
          <t>Nē</t>
        </is>
      </c>
      <c r="G112" s="2" t="n"/>
    </row>
    <row r="113">
      <c r="A113" s="2" t="inlineStr">
        <is>
          <t>UFGS_23_07_0-P0021-011</t>
        </is>
      </c>
      <c r="B113" s="2" t="inlineStr">
        <is>
          <t>UFGS_23_07_00.pdf</t>
        </is>
      </c>
      <c r="C113" s="2" t="n">
        <v>21</v>
      </c>
      <c r="D113" s="2" t="n">
        <v>11</v>
      </c>
      <c r="E113" s="2" t="inlineStr">
        <is>
          <t>High-rise building has multistory with elevators.</t>
        </is>
      </c>
      <c r="F113" s="2" t="inlineStr">
        <is>
          <t>Nē</t>
        </is>
      </c>
      <c r="G113" s="2" t="n"/>
    </row>
    <row r="114">
      <c r="A114" s="2" t="inlineStr">
        <is>
          <t>UFGS_23_07_0-P0021-012</t>
        </is>
      </c>
      <c r="B114" s="2" t="inlineStr">
        <is>
          <t>UFGS_23_07_00.pdf</t>
        </is>
      </c>
      <c r="C114" s="2" t="n">
        <v>21</v>
      </c>
      <c r="D114" s="2" t="n">
        <v>12</v>
      </c>
      <c r="E114" s="2" t="inlineStr">
        <is>
          <t>Conform insulation materials to Table 1 and minimum insulation thickness as listed in Table 2 and meet or exceed the requirements of ASHRAE 90.1 - SIASHRAE 90.1 - IP[ASHRAE 90.2].</t>
        </is>
      </c>
      <c r="F114" s="2" t="inlineStr">
        <is>
          <t>Nē</t>
        </is>
      </c>
      <c r="G114" s="2" t="n"/>
    </row>
    <row r="115">
      <c r="A115" s="2" t="inlineStr">
        <is>
          <t>UFGS_23_07_0-P0021-013</t>
        </is>
      </c>
      <c r="B115" s="2" t="inlineStr">
        <is>
          <t>UFGS_23_07_00.pdf</t>
        </is>
      </c>
      <c r="C115" s="2" t="n">
        <v>21</v>
      </c>
      <c r="D115" s="2" t="n">
        <v>13</v>
      </c>
      <c r="E115" s="2" t="inlineStr">
        <is>
          <t>Limit pipe insulation materials to those listed herein and meeting the following requirements:</t>
        </is>
      </c>
      <c r="F115" s="2" t="inlineStr">
        <is>
          <t>Nē</t>
        </is>
      </c>
      <c r="G115" s="2" t="n"/>
    </row>
    <row r="116">
      <c r="A116" s="2" t="inlineStr">
        <is>
          <t>UFGS_23_07_0-P0021-014</t>
        </is>
      </c>
      <c r="B116" s="2" t="inlineStr">
        <is>
          <t>UFGS_23_07_00.pdf</t>
        </is>
      </c>
      <c r="C116" s="2" t="n">
        <v>21</v>
      </c>
      <c r="D116" s="2" t="n">
        <v>14</v>
      </c>
      <c r="E116" s="2" t="inlineStr">
        <is>
          <t>2.3.1 Recycled Materials</t>
        </is>
      </c>
      <c r="F116" s="2" t="inlineStr">
        <is>
          <t>Nē</t>
        </is>
      </c>
      <c r="G116" s="2" t="n"/>
    </row>
    <row r="117">
      <c r="A117" s="2" t="inlineStr">
        <is>
          <t>UFGS_23_07_0-P0021-015</t>
        </is>
      </c>
      <c r="B117" s="2" t="inlineStr">
        <is>
          <t>UFGS_23_07_00.pdf</t>
        </is>
      </c>
      <c r="C117" s="2" t="n">
        <v>21</v>
      </c>
      <c r="D117" s="2" t="n">
        <v>15</v>
      </c>
      <c r="E117" s="2" t="inlineStr">
        <is>
          <t>Provide insulation materials containing the following minimum percentage of recycled material content by weight:</t>
        </is>
      </c>
      <c r="F117" s="2" t="inlineStr">
        <is>
          <t>Nē</t>
        </is>
      </c>
      <c r="G117" s="2" t="n"/>
    </row>
    <row r="118">
      <c r="A118" s="2" t="inlineStr">
        <is>
          <t>UFGS_23_07_0-P0021-016</t>
        </is>
      </c>
      <c r="B118" s="2" t="inlineStr">
        <is>
          <t>UFGS_23_07_00.pdf</t>
        </is>
      </c>
      <c r="C118" s="2" t="n">
        <v>21</v>
      </c>
      <c r="D118" s="2" t="n">
        <v>16</v>
      </c>
      <c r="E118" s="2" t="inlineStr">
        <is>
          <t>Rock Wool: 75 percent slag of weight Fiberglass: 20 percent glass cullet Rigid Foam: 9 percent recovered material Phenolic Rigid Foam: 9 percent recovered material</t>
        </is>
      </c>
      <c r="F118" s="2" t="inlineStr">
        <is>
          <t>Nē</t>
        </is>
      </c>
      <c r="G118" s="2" t="n"/>
    </row>
    <row r="119">
      <c r="A119" s="2" t="inlineStr">
        <is>
          <t>UFGS_23_07_0-P0021-017</t>
        </is>
      </c>
      <c r="B119" s="2" t="inlineStr">
        <is>
          <t>UFGS_23_07_00.pdf</t>
        </is>
      </c>
      <c r="C119" s="2" t="n">
        <v>21</v>
      </c>
      <c r="D119" s="2" t="n">
        <v>17</v>
      </c>
      <c r="E119" s="2" t="inlineStr">
        <is>
          <t>Provide data identifying percentage of recycled content for insulation materials.</t>
        </is>
      </c>
      <c r="F119" s="2" t="inlineStr">
        <is>
          <t>?</t>
        </is>
      </c>
      <c r="G119" s="2" t="n"/>
    </row>
    <row r="120">
      <c r="A120" s="2" t="inlineStr">
        <is>
          <t>UFGS_23_07_0-P0021-018</t>
        </is>
      </c>
      <c r="B120" s="2" t="inlineStr">
        <is>
          <t>UFGS_23_07_00.pdf</t>
        </is>
      </c>
      <c r="C120" s="2" t="n">
        <v>21</v>
      </c>
      <c r="D120" s="2" t="n">
        <v>18</v>
      </c>
      <c r="E120" s="2" t="inlineStr">
        <is>
          <t>2.3.2 Aboveground Cold Pipeline (-34 to 16 deg.</t>
        </is>
      </c>
      <c r="F120" s="2" t="inlineStr">
        <is>
          <t>Nē</t>
        </is>
      </c>
      <c r="G120" s="2" t="n"/>
    </row>
    <row r="121">
      <c r="A121" s="2" t="inlineStr">
        <is>
          <t>UFGS_23_07_0-P0021-019</t>
        </is>
      </c>
      <c r="B121" s="2" t="inlineStr">
        <is>
          <t>UFGS_23_07_00.pdf</t>
        </is>
      </c>
      <c r="C121" s="2" t="n">
        <v>21</v>
      </c>
      <c r="D121" s="2" t="n">
        <v>19</v>
      </c>
      <c r="E121" s="2" t="inlineStr">
        <is>
          <t>C -30 to 60 deg. F)</t>
        </is>
      </c>
      <c r="F121" s="2" t="inlineStr">
        <is>
          <t>Nē</t>
        </is>
      </c>
      <c r="G121" s="2" t="n"/>
    </row>
    <row r="122">
      <c r="A122" s="2" t="inlineStr">
        <is>
          <t>UFGS_23_07_0-P0021-020</t>
        </is>
      </c>
      <c r="B122" s="2" t="inlineStr">
        <is>
          <t>UFGS_23_07_00.pdf</t>
        </is>
      </c>
      <c r="C122" s="2" t="n">
        <v>21</v>
      </c>
      <c r="D122" s="2" t="n">
        <v>20</v>
      </c>
      <c r="E122" s="2" t="inlineStr">
        <is>
          <t>Provide insulation for outdoor, indoor, exposed or concealed applications, as follows:</t>
        </is>
      </c>
      <c r="F122" s="2" t="inlineStr">
        <is>
          <t>Nē</t>
        </is>
      </c>
      <c r="G122" s="2" t="n"/>
    </row>
    <row r="123">
      <c r="A123" s="2" t="inlineStr">
        <is>
          <t>UFGS_23_07_0-P0021-021</t>
        </is>
      </c>
      <c r="B123" s="2" t="inlineStr">
        <is>
          <t>UFGS_23_07_00.pdf</t>
        </is>
      </c>
      <c r="C123" s="2" t="n">
        <v>21</v>
      </c>
      <c r="D123" s="2" t="n">
        <v>21</v>
      </c>
      <c r="E123" s="2" t="inlineStr">
        <is>
          <t>2.3.2.1 Cellular Glass</t>
        </is>
      </c>
      <c r="F123" s="2" t="inlineStr">
        <is>
          <t>Nē</t>
        </is>
      </c>
      <c r="G123" s="2" t="n"/>
    </row>
    <row r="124">
      <c r="A124" s="2" t="inlineStr">
        <is>
          <t>UFGS_23_07_0-P0021-022</t>
        </is>
      </c>
      <c r="B124" s="2" t="inlineStr">
        <is>
          <t>UFGS_23_07_00.pdf</t>
        </is>
      </c>
      <c r="C124" s="2" t="n">
        <v>21</v>
      </c>
      <c r="D124" s="2" t="n">
        <v>22</v>
      </c>
      <c r="E124" s="2" t="inlineStr">
        <is>
          <t>ASTM C552, Type II, and Type III.</t>
        </is>
      </c>
      <c r="F124" s="2" t="inlineStr">
        <is>
          <t>Nē</t>
        </is>
      </c>
      <c r="G124" s="2" t="n"/>
    </row>
    <row r="125">
      <c r="A125" s="2" t="inlineStr">
        <is>
          <t>UFGS_23_07_0-P0021-023</t>
        </is>
      </c>
      <c r="B125" s="2" t="inlineStr">
        <is>
          <t>UFGS_23_07_00.pdf</t>
        </is>
      </c>
      <c r="C125" s="2" t="n">
        <v>21</v>
      </c>
      <c r="D125" s="2" t="n">
        <v>23</v>
      </c>
      <c r="E125" s="2" t="inlineStr">
        <is>
          <t>Supply the insulation from the fabricator with (paragraph WHITE VAPOR RETARDER ALL SERVICE JACKET (ASJ)) ASJ vapor retarder and installed with all longitudinal overlaps sealed and all circumferential joints ASJ taped or supply the insulation unfaced from the fabricator and install with all longitudinal and circumferential joints sealed with vapor barrier mastic.</t>
        </is>
      </c>
      <c r="F125" s="2" t="inlineStr">
        <is>
          <t>Nē</t>
        </is>
      </c>
      <c r="G125" s="2" t="n"/>
    </row>
    <row r="126">
      <c r="A126" s="2" t="inlineStr">
        <is>
          <t>UFGS_23_07_0-P0021-024</t>
        </is>
      </c>
      <c r="B126" s="2" t="inlineStr">
        <is>
          <t>UFGS_23_07_00.pdf</t>
        </is>
      </c>
      <c r="C126" s="2" t="n">
        <v>21</v>
      </c>
      <c r="D126" s="2" t="n">
        <v>24</v>
      </c>
      <c r="E126" s="2" t="inlineStr">
        <is>
          <t>2.3.2.2 Flexible Elastomeric Cellular Insulation</t>
        </is>
      </c>
      <c r="F126" s="2" t="inlineStr">
        <is>
          <t>Nē</t>
        </is>
      </c>
      <c r="G126" s="2" t="n"/>
    </row>
    <row r="127">
      <c r="A127" s="2" t="inlineStr">
        <is>
          <t>UFGS_23_07_0-P0021-025</t>
        </is>
      </c>
      <c r="B127" s="2" t="inlineStr">
        <is>
          <t>UFGS_23_07_00.pdf</t>
        </is>
      </c>
      <c r="C127" s="2" t="n">
        <v>21</v>
      </c>
      <c r="D127" s="2" t="n">
        <v>25</v>
      </c>
      <c r="E127" s="2" t="inlineStr">
        <is>
          <t>Closed-cell, foam- or expanded-rubber materials containing anti-microbial additive, complying with ASTM C534/C534M, Grade 1, Type I or II.</t>
        </is>
      </c>
      <c r="F127" s="2" t="inlineStr">
        <is>
          <t>Nē</t>
        </is>
      </c>
      <c r="G127" s="2" t="n"/>
    </row>
    <row r="128">
      <c r="A128" s="2" t="inlineStr">
        <is>
          <t>UFGS_23_07_0-P0021-026</t>
        </is>
      </c>
      <c r="B128" s="2" t="inlineStr">
        <is>
          <t>UFGS_23_07_00.pdf</t>
        </is>
      </c>
      <c r="C128" s="2" t="n">
        <v>21</v>
      </c>
      <c r="D128" s="2" t="n">
        <v>26</v>
      </c>
      <c r="E128" s="2" t="inlineStr">
        <is>
          <t>Type I, Grade 1 for tubular materials.</t>
        </is>
      </c>
      <c r="F128" s="2" t="inlineStr">
        <is>
          <t>Nē</t>
        </is>
      </c>
      <c r="G128" s="2" t="n"/>
    </row>
    <row r="129">
      <c r="A129" s="2" t="inlineStr">
        <is>
          <t>UFGS_23_07_0-P0021-027</t>
        </is>
      </c>
      <c r="B129" s="2" t="inlineStr">
        <is>
          <t>UFGS_23_07_00.pdf</t>
        </is>
      </c>
      <c r="C129" s="2" t="n">
        <v>21</v>
      </c>
      <c r="D129" s="2" t="n">
        <v>27</v>
      </c>
      <c r="E129" s="2" t="inlineStr">
        <is>
          <t>Type II, Grade 1, for sheet materials.</t>
        </is>
      </c>
      <c r="F129" s="2" t="inlineStr">
        <is>
          <t>Nē</t>
        </is>
      </c>
      <c r="G129" s="2" t="n"/>
    </row>
    <row r="130">
      <c r="A130" s="2" t="inlineStr">
        <is>
          <t>UFGS_23_07_0-P0021-028</t>
        </is>
      </c>
      <c r="B130" s="2" t="inlineStr">
        <is>
          <t>UFGS_23_07_00.pdf</t>
        </is>
      </c>
      <c r="C130" s="2" t="n">
        <v>21</v>
      </c>
      <c r="D130" s="2" t="n">
        <v>28</v>
      </c>
      <c r="E130" s="2" t="inlineStr">
        <is>
          <t>SECTION 23 07 00 Page 21</t>
        </is>
      </c>
      <c r="F130" s="2" t="inlineStr">
        <is>
          <t>Nē</t>
        </is>
      </c>
      <c r="G130" s="2" t="n"/>
    </row>
    <row r="131">
      <c r="A131" s="2" t="inlineStr">
        <is>
          <t>UFGS_23_07_0-P0023-001</t>
        </is>
      </c>
      <c r="B131" s="2" t="inlineStr">
        <is>
          <t>UFGS_23_07_00.pdf</t>
        </is>
      </c>
      <c r="C131" s="2" t="n">
        <v>23</v>
      </c>
      <c r="D131" s="2" t="n">
        <v>1</v>
      </c>
      <c r="E131" s="2" t="inlineStr">
        <is>
          <t>in accordance with ASTM E84.</t>
        </is>
      </c>
      <c r="F131" s="2" t="inlineStr">
        <is>
          <t>Nē</t>
        </is>
      </c>
      <c r="G131" s="2" t="n"/>
    </row>
    <row r="132">
      <c r="A132" s="2" t="inlineStr">
        <is>
          <t>UFGS_23_07_0-P0023-002</t>
        </is>
      </c>
      <c r="B132" s="2" t="inlineStr">
        <is>
          <t>UFGS_23_07_00.pdf</t>
        </is>
      </c>
      <c r="C132" s="2" t="n">
        <v>23</v>
      </c>
      <c r="D132" s="2" t="n">
        <v>2</v>
      </c>
      <c r="E132" s="2" t="inlineStr">
        <is>
          <t>2.3.4 Aboveground Dual Temperature Pipeline</t>
        </is>
      </c>
      <c r="F132" s="2" t="inlineStr">
        <is>
          <t>Nē</t>
        </is>
      </c>
      <c r="G132" s="2" t="n"/>
    </row>
    <row r="133">
      <c r="A133" s="2" t="inlineStr">
        <is>
          <t>UFGS_23_07_0-P0023-003</t>
        </is>
      </c>
      <c r="B133" s="2" t="inlineStr">
        <is>
          <t>UFGS_23_07_00.pdf</t>
        </is>
      </c>
      <c r="C133" s="2" t="n">
        <v>23</v>
      </c>
      <c r="D133" s="2" t="n">
        <v>3</v>
      </c>
      <c r="E133" s="2" t="inlineStr">
        <is>
          <t>NOTE: The use of multiple layered systems, i.e., a flexible form of insulation, surrounded by a rigid form and sealed with mastics, sealants and vapor retarders/vapor barrier, may provide the most advantageous form of insulation system for this piping configuration.</t>
        </is>
      </c>
      <c r="F133" s="2" t="inlineStr">
        <is>
          <t>Nē</t>
        </is>
      </c>
      <c r="G133" s="2" t="n"/>
    </row>
    <row r="134">
      <c r="A134" s="2" t="inlineStr">
        <is>
          <t>UFGS_23_07_0-P0023-004</t>
        </is>
      </c>
      <c r="B134" s="2" t="inlineStr">
        <is>
          <t>UFGS_23_07_00.pdf</t>
        </is>
      </c>
      <c r="C134" s="2" t="n">
        <v>23</v>
      </c>
      <c r="D134" s="2" t="n">
        <v>4</v>
      </c>
      <c r="E134" s="2" t="inlineStr">
        <is>
          <t>This is due to the pipe expansion and contraction associated with the change from hot to cold temperatures.</t>
        </is>
      </c>
      <c r="F134" s="2" t="inlineStr">
        <is>
          <t>Nē</t>
        </is>
      </c>
      <c r="G134" s="2" t="n"/>
    </row>
    <row r="135">
      <c r="A135" s="2" t="inlineStr">
        <is>
          <t>UFGS_23_07_0-P0023-005</t>
        </is>
      </c>
      <c r="B135" s="2" t="inlineStr">
        <is>
          <t>UFGS_23_07_00.pdf</t>
        </is>
      </c>
      <c r="C135" s="2" t="n">
        <v>23</v>
      </c>
      <c r="D135" s="2" t="n">
        <v>5</v>
      </c>
      <c r="E135" s="2" t="inlineStr">
        <is>
          <t>Select insulation for use over a dual temperature pipeline system (Outdoor, Indoor - Exposed or Concealed) in accordance with the most limiting/restrictive case.</t>
        </is>
      </c>
      <c r="F135" s="2" t="inlineStr">
        <is>
          <t>Nē</t>
        </is>
      </c>
      <c r="G135" s="2" t="n"/>
    </row>
    <row r="136">
      <c r="A136" s="2" t="inlineStr">
        <is>
          <t>UFGS_23_07_0-P0023-006</t>
        </is>
      </c>
      <c r="B136" s="2" t="inlineStr">
        <is>
          <t>UFGS_23_07_00.pdf</t>
        </is>
      </c>
      <c r="C136" s="2" t="n">
        <v>23</v>
      </c>
      <c r="D136" s="2" t="n">
        <v>6</v>
      </c>
      <c r="E136" s="2" t="inlineStr">
        <is>
          <t>Find an allowable material from paragraph PIPE INSULATION MATERIALS and determine the required thickness from the most restrictive case.</t>
        </is>
      </c>
      <c r="F136" s="2" t="inlineStr">
        <is>
          <t>Nē</t>
        </is>
      </c>
      <c r="G136" s="2" t="n"/>
    </row>
    <row r="137">
      <c r="A137" s="2" t="inlineStr">
        <is>
          <t>UFGS_23_07_0-P0023-007</t>
        </is>
      </c>
      <c r="B137" s="2" t="inlineStr">
        <is>
          <t>UFGS_23_07_00.pdf</t>
        </is>
      </c>
      <c r="C137" s="2" t="n">
        <v>23</v>
      </c>
      <c r="D137" s="2" t="n">
        <v>7</v>
      </c>
      <c r="E137" s="2" t="inlineStr">
        <is>
          <t>Use the thickness listed in paragraphs INSULATION THICKNESS for cold &amp; hot pipe applications.</t>
        </is>
      </c>
      <c r="F137" s="2" t="inlineStr">
        <is>
          <t>Nē</t>
        </is>
      </c>
      <c r="G137" s="2" t="n"/>
    </row>
    <row r="138">
      <c r="A138" s="2" t="inlineStr">
        <is>
          <t>UFGS_23_07_0-P0023-008</t>
        </is>
      </c>
      <c r="B138" s="2" t="inlineStr">
        <is>
          <t>UFGS_23_07_00.pdf</t>
        </is>
      </c>
      <c r="C138" s="2" t="n">
        <v>23</v>
      </c>
      <c r="D138" s="2" t="n">
        <v>8</v>
      </c>
      <c r="E138" s="2" t="inlineStr">
        <is>
          <t>2.3.5 Below-ground Pipeline Insulation</t>
        </is>
      </c>
      <c r="F138" s="2" t="inlineStr">
        <is>
          <t>Nē</t>
        </is>
      </c>
      <c r="G138" s="2" t="n"/>
    </row>
    <row r="139">
      <c r="A139" s="2" t="inlineStr">
        <is>
          <t>UFGS_23_07_0-P0023-009</t>
        </is>
      </c>
      <c r="B139" s="2" t="inlineStr">
        <is>
          <t>UFGS_23_07_00.pdf</t>
        </is>
      </c>
      <c r="C139" s="2" t="n">
        <v>23</v>
      </c>
      <c r="D139" s="2" t="n">
        <v>9</v>
      </c>
      <c r="E139" s="2" t="inlineStr">
        <is>
          <t>For below-ground pipeline insulation, use cellular glass, ASTM C552, type II.</t>
        </is>
      </c>
      <c r="F139" s="2" t="inlineStr">
        <is>
          <t>Nē</t>
        </is>
      </c>
      <c r="G139" s="2" t="n"/>
    </row>
    <row r="140">
      <c r="A140" s="2" t="inlineStr">
        <is>
          <t>UFGS_23_07_0-P0023-010</t>
        </is>
      </c>
      <c r="B140" s="2" t="inlineStr">
        <is>
          <t>UFGS_23_07_00.pdf</t>
        </is>
      </c>
      <c r="C140" s="2" t="n">
        <v>23</v>
      </c>
      <c r="D140" s="2" t="n">
        <v>10</v>
      </c>
      <c r="E140" s="2" t="inlineStr">
        <is>
          <t>2.4 DUCT INSULATION SYSTEMS</t>
        </is>
      </c>
      <c r="F140" s="2" t="inlineStr">
        <is>
          <t>Nē</t>
        </is>
      </c>
      <c r="G140" s="2" t="n"/>
    </row>
    <row r="141">
      <c r="A141" s="2" t="inlineStr">
        <is>
          <t>UFGS_23_07_0-P0023-011</t>
        </is>
      </c>
      <c r="B141" s="2" t="inlineStr">
        <is>
          <t>UFGS_23_07_00.pdf</t>
        </is>
      </c>
      <c r="C141" s="2" t="n">
        <v>23</v>
      </c>
      <c r="D141" s="2" t="n">
        <v>11</v>
      </c>
      <c r="E141" s="2" t="inlineStr">
        <is>
          <t>NOTE: For NAVFAC ML projects, delete option of the following paragraph.</t>
        </is>
      </c>
      <c r="F141" s="2" t="inlineStr">
        <is>
          <t>Nē</t>
        </is>
      </c>
      <c r="G141" s="2" t="n"/>
    </row>
    <row r="142">
      <c r="A142" s="2" t="inlineStr">
        <is>
          <t>UFGS_23_07_0-P0023-012</t>
        </is>
      </c>
      <c r="B142" s="2" t="inlineStr">
        <is>
          <t>UFGS_23_07_00.pdf</t>
        </is>
      </c>
      <c r="C142" s="2" t="n">
        <v>23</v>
      </c>
      <c r="D142" s="2" t="n">
        <v>12</v>
      </c>
      <c r="E142" s="2" t="inlineStr">
        <is>
          <t>2.4.1 Factory Applied Insulation</t>
        </is>
      </c>
      <c r="F142" s="2" t="inlineStr">
        <is>
          <t>Nē</t>
        </is>
      </c>
      <c r="G142" s="2" t="n"/>
    </row>
    <row r="143">
      <c r="A143" s="2" t="inlineStr">
        <is>
          <t>UFGS_23_07_0-P0023-013</t>
        </is>
      </c>
      <c r="B143" s="2" t="inlineStr">
        <is>
          <t>UFGS_23_07_00.pdf</t>
        </is>
      </c>
      <c r="C143" s="2" t="n">
        <v>23</v>
      </c>
      <c r="D143" s="2" t="n">
        <v>13</v>
      </c>
      <c r="E143" s="2" t="inlineStr">
        <is>
          <t>Provide factory-applied [ASTM C552, cellular glass thermal] [ ASTM C534/C534M Grade 1, Type II, flexible elastomeric closed cell] insulation according to manufacturer's recommendations for insulation with insulation manufacturer's standard reinforced fire-retardant vapor barrier[, with identification of installed thermal resistance (R) value and out-of-package R value].</t>
        </is>
      </c>
      <c r="F143" s="2" t="inlineStr">
        <is>
          <t>Nē</t>
        </is>
      </c>
      <c r="G143" s="2" t="n"/>
    </row>
    <row r="144">
      <c r="A144" s="2" t="inlineStr">
        <is>
          <t>UFGS_23_07_0-P0023-014</t>
        </is>
      </c>
      <c r="B144" s="2" t="inlineStr">
        <is>
          <t>UFGS_23_07_00.pdf</t>
        </is>
      </c>
      <c r="C144" s="2" t="n">
        <v>23</v>
      </c>
      <c r="D144" s="2" t="n">
        <v>14</v>
      </c>
      <c r="E144" s="2" t="inlineStr">
        <is>
          <t>2.4.2 Field Applied Insulation</t>
        </is>
      </c>
      <c r="F144" s="2" t="inlineStr">
        <is>
          <t>Nē</t>
        </is>
      </c>
      <c r="G144" s="2" t="n"/>
    </row>
    <row r="145">
      <c r="A145" s="2" t="inlineStr">
        <is>
          <t>UFGS_23_07_0-P0023-015</t>
        </is>
      </c>
      <c r="B145" s="2" t="inlineStr">
        <is>
          <t>UFGS_23_07_00.pdf</t>
        </is>
      </c>
      <c r="C145" s="2" t="n">
        <v>23</v>
      </c>
      <c r="D145" s="2" t="n">
        <v>15</v>
      </c>
      <c r="E145" s="2" t="inlineStr">
        <is>
          <t>2.4.2.1 General</t>
        </is>
      </c>
      <c r="F145" s="2" t="inlineStr">
        <is>
          <t>Nē</t>
        </is>
      </c>
      <c r="G145" s="2" t="n"/>
    </row>
    <row r="146">
      <c r="A146" s="2" t="inlineStr">
        <is>
          <t>UFGS_23_07_0-P0023-016</t>
        </is>
      </c>
      <c r="B146" s="2" t="inlineStr">
        <is>
          <t>UFGS_23_07_00.pdf</t>
        </is>
      </c>
      <c r="C146" s="2" t="n">
        <v>23</v>
      </c>
      <c r="D146" s="2" t="n">
        <v>16</v>
      </c>
      <c r="E146" s="2" t="inlineStr">
        <is>
          <t>NOTE: ASHRAE 90.2 is for low-rise residential building.</t>
        </is>
      </c>
      <c r="F146" s="2" t="inlineStr">
        <is>
          <t>Nē</t>
        </is>
      </c>
      <c r="G146" s="2" t="n"/>
    </row>
    <row r="147">
      <c r="A147" s="2" t="inlineStr">
        <is>
          <t>UFGS_23_07_0-P0023-017</t>
        </is>
      </c>
      <c r="B147" s="2" t="inlineStr">
        <is>
          <t>UFGS_23_07_00.pdf</t>
        </is>
      </c>
      <c r="C147" s="2" t="n">
        <v>23</v>
      </c>
      <c r="D147" s="2" t="n">
        <v>17</v>
      </c>
      <c r="E147" s="2" t="inlineStr">
        <is>
          <t>ASHRAE 90.1 is for all buildings except low-rise residential buildings.</t>
        </is>
      </c>
      <c r="F147" s="2" t="inlineStr">
        <is>
          <t>Nē</t>
        </is>
      </c>
      <c r="G147" s="2" t="n"/>
    </row>
    <row r="148">
      <c r="A148" s="2" t="inlineStr">
        <is>
          <t>UFGS_23_07_0-P0023-018</t>
        </is>
      </c>
      <c r="B148" s="2" t="inlineStr">
        <is>
          <t>UFGS_23_07_00.pdf</t>
        </is>
      </c>
      <c r="C148" s="2" t="n">
        <v>23</v>
      </c>
      <c r="D148" s="2" t="n">
        <v>18</v>
      </c>
      <c r="E148" s="2" t="inlineStr">
        <is>
          <t>Low-rise building has one or two stories without elevators.</t>
        </is>
      </c>
      <c r="F148" s="2" t="inlineStr">
        <is>
          <t>Nē</t>
        </is>
      </c>
      <c r="G148" s="2" t="n"/>
    </row>
    <row r="149">
      <c r="A149" s="2" t="inlineStr">
        <is>
          <t>UFGS_23_07_0-P0023-019</t>
        </is>
      </c>
      <c r="B149" s="2" t="inlineStr">
        <is>
          <t>UFGS_23_07_00.pdf</t>
        </is>
      </c>
      <c r="C149" s="2" t="n">
        <v>23</v>
      </c>
      <c r="D149" s="2" t="n">
        <v>19</v>
      </c>
      <c r="E149" s="2" t="inlineStr">
        <is>
          <t>High-rise building has multistory with elevators.</t>
        </is>
      </c>
      <c r="F149" s="2" t="inlineStr">
        <is>
          <t>Nē</t>
        </is>
      </c>
      <c r="G149" s="2" t="n"/>
    </row>
    <row r="150">
      <c r="A150" s="2" t="inlineStr">
        <is>
          <t>UFGS_23_07_0-P0023-020</t>
        </is>
      </c>
      <c r="B150" s="2" t="inlineStr">
        <is>
          <t>UFGS_23_07_00.pdf</t>
        </is>
      </c>
      <c r="C150" s="2" t="n">
        <v>23</v>
      </c>
      <c r="D150" s="2" t="n">
        <v>20</v>
      </c>
      <c r="E150" s="2" t="inlineStr">
        <is>
          <t>Calculate the minimum thickness in accordance with [ASHRAE 90.2] ASHRAE 90.1 - SIASHRAE 90.1 - IP.</t>
        </is>
      </c>
      <c r="F150" s="2" t="inlineStr">
        <is>
          <t>Nē</t>
        </is>
      </c>
      <c r="G150" s="2" t="n"/>
    </row>
    <row r="151">
      <c r="A151" s="2" t="inlineStr">
        <is>
          <t>UFGS_23_07_0-P0023-021</t>
        </is>
      </c>
      <c r="B151" s="2" t="inlineStr">
        <is>
          <t>UFGS_23_07_00.pdf</t>
        </is>
      </c>
      <c r="C151" s="2" t="n">
        <v>23</v>
      </c>
      <c r="D151" s="2" t="n">
        <v>21</v>
      </c>
      <c r="E151" s="2" t="inlineStr">
        <is>
          <t>SECTION 23 07 00 Page 23</t>
        </is>
      </c>
      <c r="F151" s="2" t="inlineStr">
        <is>
          <t>Nē</t>
        </is>
      </c>
      <c r="G151" s="2" t="n"/>
    </row>
    <row r="152">
      <c r="A152" s="2" t="inlineStr">
        <is>
          <t>UFGS_23_07_0-P0025-001</t>
        </is>
      </c>
      <c r="B152" s="2" t="inlineStr">
        <is>
          <t>UFGS_23_07_00.pdf</t>
        </is>
      </c>
      <c r="C152" s="2" t="n">
        <v>25</v>
      </c>
      <c r="D152" s="2" t="n">
        <v>1</v>
      </c>
      <c r="E152" s="2" t="inlineStr">
        <is>
          <t>2.4.7 Duct Insulation Jackets</t>
        </is>
      </c>
      <c r="F152" s="2" t="inlineStr">
        <is>
          <t>Nē</t>
        </is>
      </c>
      <c r="G152" s="2" t="n"/>
    </row>
    <row r="153">
      <c r="A153" s="2" t="inlineStr">
        <is>
          <t>UFGS_23_07_0-P0025-002</t>
        </is>
      </c>
      <c r="B153" s="2" t="inlineStr">
        <is>
          <t>UFGS_23_07_00.pdf</t>
        </is>
      </c>
      <c r="C153" s="2" t="n">
        <v>25</v>
      </c>
      <c r="D153" s="2" t="n">
        <v>2</v>
      </c>
      <c r="E153" s="2" t="inlineStr">
        <is>
          <t>2.4.7.1 All-Purpose Jacket</t>
        </is>
      </c>
      <c r="F153" s="2" t="inlineStr">
        <is>
          <t>Nē</t>
        </is>
      </c>
      <c r="G153" s="2" t="n"/>
    </row>
    <row r="154">
      <c r="A154" s="2" t="inlineStr">
        <is>
          <t>UFGS_23_07_0-P0025-003</t>
        </is>
      </c>
      <c r="B154" s="2" t="inlineStr">
        <is>
          <t>UFGS_23_07_00.pdf</t>
        </is>
      </c>
      <c r="C154" s="2" t="n">
        <v>25</v>
      </c>
      <c r="D154" s="2" t="n">
        <v>3</v>
      </c>
      <c r="E154" s="2" t="inlineStr">
        <is>
          <t>Provide insulation with insulation manufacturer's standard reinforced fire-retardant jacket with or without integral vapor barrier as required by the service.</t>
        </is>
      </c>
      <c r="F154" s="2" t="inlineStr">
        <is>
          <t>Nē</t>
        </is>
      </c>
      <c r="G154" s="2" t="n"/>
    </row>
    <row r="155">
      <c r="A155" s="2" t="inlineStr">
        <is>
          <t>UFGS_23_07_0-P0025-004</t>
        </is>
      </c>
      <c r="B155" s="2" t="inlineStr">
        <is>
          <t>UFGS_23_07_00.pdf</t>
        </is>
      </c>
      <c r="C155" s="2" t="n">
        <v>25</v>
      </c>
      <c r="D155" s="2" t="n">
        <v>4</v>
      </c>
      <c r="E155" s="2" t="inlineStr">
        <is>
          <t>In exposed locations, provide jacket with a white surface.</t>
        </is>
      </c>
      <c r="F155" s="2" t="inlineStr">
        <is>
          <t>Nē</t>
        </is>
      </c>
      <c r="G155" s="2" t="n"/>
    </row>
    <row r="156">
      <c r="A156" s="2" t="inlineStr">
        <is>
          <t>UFGS_23_07_0-P0025-005</t>
        </is>
      </c>
      <c r="B156" s="2" t="inlineStr">
        <is>
          <t>UFGS_23_07_00.pdf</t>
        </is>
      </c>
      <c r="C156" s="2" t="n">
        <v>25</v>
      </c>
      <c r="D156" s="2" t="n">
        <v>5</v>
      </c>
      <c r="E156" s="2" t="inlineStr">
        <is>
          <t>2.4.7.2 Metal Jackets</t>
        </is>
      </c>
      <c r="F156" s="2" t="inlineStr">
        <is>
          <t>Nē</t>
        </is>
      </c>
      <c r="G156" s="2" t="n"/>
    </row>
    <row r="157">
      <c r="A157" s="2" t="inlineStr">
        <is>
          <t>UFGS_23_07_0-P0025-006</t>
        </is>
      </c>
      <c r="B157" s="2" t="inlineStr">
        <is>
          <t>UFGS_23_07_00.pdf</t>
        </is>
      </c>
      <c r="C157" s="2" t="n">
        <v>25</v>
      </c>
      <c r="D157" s="2" t="n">
        <v>6</v>
      </c>
      <c r="E157" s="2" t="inlineStr">
        <is>
          <t>2.4.7.2.1 Aluminum Jackets</t>
        </is>
      </c>
      <c r="F157" s="2" t="inlineStr">
        <is>
          <t>Nē</t>
        </is>
      </c>
      <c r="G157" s="2" t="n"/>
    </row>
    <row r="158">
      <c r="A158" s="2" t="inlineStr">
        <is>
          <t>UFGS_23_07_0-P0025-007</t>
        </is>
      </c>
      <c r="B158" s="2" t="inlineStr">
        <is>
          <t>UFGS_23_07_00.pdf</t>
        </is>
      </c>
      <c r="C158" s="2" t="n">
        <v>25</v>
      </c>
      <c r="D158" s="2" t="n">
        <v>7</v>
      </c>
      <c r="E158" s="2" t="inlineStr">
        <is>
          <t>ASTM B209M ASTM B209, Temper H14, minimum thickness of 27 gauge (0.41 mm 0.016 inch), with factory-applied polyethylene and kraft paper moisture barrier on inside surface.</t>
        </is>
      </c>
      <c r="F158" s="2" t="inlineStr">
        <is>
          <t>Nē</t>
        </is>
      </c>
      <c r="G158" s="2" t="n"/>
    </row>
    <row r="159">
      <c r="A159" s="2" t="inlineStr">
        <is>
          <t>UFGS_23_07_0-P0025-008</t>
        </is>
      </c>
      <c r="B159" s="2" t="inlineStr">
        <is>
          <t>UFGS_23_07_00.pdf</t>
        </is>
      </c>
      <c r="C159" s="2" t="n">
        <v>25</v>
      </c>
      <c r="D159" s="2" t="n">
        <v>8</v>
      </c>
      <c r="E159" s="2" t="inlineStr">
        <is>
          <t>Provide smooth surface jackets for jacket outside dimension 200 mm 8 inches and larger.</t>
        </is>
      </c>
      <c r="F159" s="2" t="inlineStr">
        <is>
          <t>Nē</t>
        </is>
      </c>
      <c r="G159" s="2" t="n"/>
    </row>
    <row r="160">
      <c r="A160" s="2" t="inlineStr">
        <is>
          <t>UFGS_23_07_0-P0025-009</t>
        </is>
      </c>
      <c r="B160" s="2" t="inlineStr">
        <is>
          <t>UFGS_23_07_00.pdf</t>
        </is>
      </c>
      <c r="C160" s="2" t="n">
        <v>25</v>
      </c>
      <c r="D160" s="2" t="n">
        <v>9</v>
      </c>
      <c r="E160" s="2" t="inlineStr">
        <is>
          <t>Provide corrugated surface jackets for jacket outside dimension 200 mm 8 inches and larger.</t>
        </is>
      </c>
      <c r="F160" s="2" t="inlineStr">
        <is>
          <t>Nē</t>
        </is>
      </c>
      <c r="G160" s="2" t="n"/>
    </row>
    <row r="161">
      <c r="A161" s="2" t="inlineStr">
        <is>
          <t>UFGS_23_07_0-P0025-010</t>
        </is>
      </c>
      <c r="B161" s="2" t="inlineStr">
        <is>
          <t>UFGS_23_07_00.pdf</t>
        </is>
      </c>
      <c r="C161" s="2" t="n">
        <v>25</v>
      </c>
      <c r="D161" s="2" t="n">
        <v>10</v>
      </c>
      <c r="E161" s="2" t="inlineStr">
        <is>
          <t>Provide stainless steel bands, minimum width of 13 mm 1/2 inch.</t>
        </is>
      </c>
      <c r="F161" s="2" t="inlineStr">
        <is>
          <t>Nē</t>
        </is>
      </c>
      <c r="G161" s="2" t="n"/>
    </row>
    <row r="162">
      <c r="A162" s="2" t="inlineStr">
        <is>
          <t>UFGS_23_07_0-P0025-011</t>
        </is>
      </c>
      <c r="B162" s="2" t="inlineStr">
        <is>
          <t>UFGS_23_07_00.pdf</t>
        </is>
      </c>
      <c r="C162" s="2" t="n">
        <v>25</v>
      </c>
      <c r="D162" s="2" t="n">
        <v>11</v>
      </c>
      <c r="E162" s="2" t="inlineStr">
        <is>
          <t>2.4.7.2.2 Stainless Steel Jackets</t>
        </is>
      </c>
      <c r="F162" s="2" t="inlineStr">
        <is>
          <t>Nē</t>
        </is>
      </c>
      <c r="G162" s="2" t="n"/>
    </row>
    <row r="163">
      <c r="A163" s="2" t="inlineStr">
        <is>
          <t>UFGS_23_07_0-P0025-012</t>
        </is>
      </c>
      <c r="B163" s="2" t="inlineStr">
        <is>
          <t>UFGS_23_07_00.pdf</t>
        </is>
      </c>
      <c r="C163" s="2" t="n">
        <v>25</v>
      </c>
      <c r="D163" s="2" t="n">
        <v>12</v>
      </c>
      <c r="E163" s="2" t="inlineStr">
        <is>
          <t>ASTM A240/A240M;</t>
        </is>
      </c>
      <c r="F163" s="2" t="inlineStr">
        <is>
          <t>Nē</t>
        </is>
      </c>
      <c r="G163" s="2" t="n"/>
    </row>
    <row r="164">
      <c r="A164" s="2" t="inlineStr">
        <is>
          <t>UFGS_23_07_0-P0025-013</t>
        </is>
      </c>
      <c r="B164" s="2" t="inlineStr">
        <is>
          <t>UFGS_23_07_00.pdf</t>
        </is>
      </c>
      <c r="C164" s="2" t="n">
        <v>25</v>
      </c>
      <c r="D164" s="2" t="n">
        <v>13</v>
      </c>
      <c r="E164" s="2" t="inlineStr">
        <is>
          <t>Type 304, minimum thickness of 33 gauge (0.25 mm 0.010 inch), smooth surface with factory-applied polyethylene and kraft paper moisture barrier on inside surface.</t>
        </is>
      </c>
      <c r="F164" s="2" t="inlineStr">
        <is>
          <t>Nē</t>
        </is>
      </c>
      <c r="G164" s="2" t="n"/>
    </row>
    <row r="165">
      <c r="A165" s="2" t="inlineStr">
        <is>
          <t>UFGS_23_07_0-P0025-014</t>
        </is>
      </c>
      <c r="B165" s="2" t="inlineStr">
        <is>
          <t>UFGS_23_07_00.pdf</t>
        </is>
      </c>
      <c r="C165" s="2" t="n">
        <v>25</v>
      </c>
      <c r="D165" s="2" t="n">
        <v>14</v>
      </c>
      <c r="E165" s="2" t="inlineStr">
        <is>
          <t>2.4.7.3 Vapor Barrier/Weatherproofing Jacket</t>
        </is>
      </c>
      <c r="F165" s="2" t="inlineStr">
        <is>
          <t>Nē</t>
        </is>
      </c>
      <c r="G165" s="2" t="n"/>
    </row>
    <row r="166">
      <c r="A166" s="2" t="inlineStr">
        <is>
          <t>UFGS_23_07_0-P0025-015</t>
        </is>
      </c>
      <c r="B166" s="2" t="inlineStr">
        <is>
          <t>UFGS_23_07_00.pdf</t>
        </is>
      </c>
      <c r="C166" s="2" t="n">
        <v>25</v>
      </c>
      <c r="D166" s="2" t="n">
        <v>15</v>
      </c>
      <c r="E166" s="2" t="inlineStr">
        <is>
          <t>Provide vapor barrier/weatherproofing jacket that is laminated self-adhesive (minimum 0.05 mm 2 mils adhesive, 0.075 mm 3 mils embossed) less than 0.02 permeability, (greater than 3 ply, standard grade, silver, white, black and embossed or greater than 8 ply (minimum 0.072 mm 2.9 mils adhesive), heavy duty white or natural).</t>
        </is>
      </c>
      <c r="F166" s="2" t="inlineStr">
        <is>
          <t>Nē</t>
        </is>
      </c>
      <c r="G166" s="2" t="n"/>
    </row>
    <row r="167">
      <c r="A167" s="2" t="inlineStr">
        <is>
          <t>UFGS_23_07_0-P0025-016</t>
        </is>
      </c>
      <c r="B167" s="2" t="inlineStr">
        <is>
          <t>UFGS_23_07_00.pdf</t>
        </is>
      </c>
      <c r="C167" s="2" t="n">
        <v>25</v>
      </c>
      <c r="D167" s="2" t="n">
        <v>16</v>
      </c>
      <c r="E167" s="2" t="inlineStr">
        <is>
          <t>2.4.8 Weatherproof Duct Insulation</t>
        </is>
      </c>
      <c r="F167" s="2" t="inlineStr">
        <is>
          <t>Nē</t>
        </is>
      </c>
      <c r="G167" s="2" t="n"/>
    </row>
    <row r="168">
      <c r="A168" s="2" t="inlineStr">
        <is>
          <t>UFGS_23_07_0-P0025-017</t>
        </is>
      </c>
      <c r="B168" s="2" t="inlineStr">
        <is>
          <t>UFGS_23_07_00.pdf</t>
        </is>
      </c>
      <c r="C168" s="2" t="n">
        <v>25</v>
      </c>
      <c r="D168" s="2" t="n">
        <v>17</v>
      </c>
      <c r="E168" s="2" t="inlineStr">
        <is>
          <t>Provide [ASTM C552, cellular glass thermal insulation] [ASTM C534/C534M Grade 1, Type II, flexible elastomeric cellular insulation], and weatherproofing as specified in manufacturer's instruction.</t>
        </is>
      </c>
      <c r="F168" s="2" t="inlineStr">
        <is>
          <t>Nē</t>
        </is>
      </c>
      <c r="G168" s="2" t="n"/>
    </row>
    <row r="169">
      <c r="A169" s="2" t="inlineStr">
        <is>
          <t>UFGS_23_07_0-P0025-018</t>
        </is>
      </c>
      <c r="B169" s="2" t="inlineStr">
        <is>
          <t>UFGS_23_07_00.pdf</t>
        </is>
      </c>
      <c r="C169" s="2" t="n">
        <v>25</v>
      </c>
      <c r="D169" s="2" t="n">
        <v>18</v>
      </c>
      <c r="E169" s="2" t="inlineStr">
        <is>
          <t>Multi-ply, Polymeric Blend Laminate Jacketing: Construction of laminate designed to provide UV resistance, high puncture, tear resistance and an excellent WVT rate.</t>
        </is>
      </c>
      <c r="F169" s="2" t="inlineStr">
        <is>
          <t>Nē</t>
        </is>
      </c>
      <c r="G169" s="2" t="n"/>
    </row>
    <row r="170">
      <c r="A170" s="2" t="inlineStr">
        <is>
          <t>UFGS_23_07_0-P0025-019</t>
        </is>
      </c>
      <c r="B170" s="2" t="inlineStr">
        <is>
          <t>UFGS_23_07_00.pdf</t>
        </is>
      </c>
      <c r="C170" s="2" t="n">
        <v>25</v>
      </c>
      <c r="D170" s="2" t="n">
        <v>19</v>
      </c>
      <c r="E170" s="2" t="inlineStr">
        <is>
          <t>2.5 EQUIPMENT INSULATION SYSTEMS</t>
        </is>
      </c>
      <c r="F170" s="2" t="inlineStr">
        <is>
          <t>Nē</t>
        </is>
      </c>
      <c r="G170" s="2" t="n"/>
    </row>
    <row r="171">
      <c r="A171" s="2" t="inlineStr">
        <is>
          <t>UFGS_23_07_0-P0025-020</t>
        </is>
      </c>
      <c r="B171" s="2" t="inlineStr">
        <is>
          <t>UFGS_23_07_00.pdf</t>
        </is>
      </c>
      <c r="C171" s="2" t="n">
        <v>25</v>
      </c>
      <c r="D171" s="2" t="n">
        <v>20</v>
      </c>
      <c r="E171" s="2" t="inlineStr">
        <is>
          <t>Insulate equipment and accessories as specified in Tables 5 and 6.</t>
        </is>
      </c>
      <c r="F171" s="2" t="inlineStr">
        <is>
          <t>Nē</t>
        </is>
      </c>
      <c r="G171" s="2" t="n"/>
    </row>
    <row r="172">
      <c r="A172" s="2" t="inlineStr">
        <is>
          <t>UFGS_23_07_0-P0025-021</t>
        </is>
      </c>
      <c r="B172" s="2" t="inlineStr">
        <is>
          <t>UFGS_23_07_00.pdf</t>
        </is>
      </c>
      <c r="C172" s="2" t="n">
        <v>25</v>
      </c>
      <c r="D172" s="2" t="n">
        <v>21</v>
      </c>
      <c r="E172" s="2" t="inlineStr">
        <is>
          <t>In outside locations, provide insulation 13 mm 1/2 inch thicker than specified.</t>
        </is>
      </c>
      <c r="F172" s="2" t="inlineStr">
        <is>
          <t>Nē</t>
        </is>
      </c>
      <c r="G172" s="2" t="n"/>
    </row>
    <row r="173">
      <c r="A173" s="2" t="inlineStr">
        <is>
          <t>UFGS_23_07_0-P0025-022</t>
        </is>
      </c>
      <c r="B173" s="2" t="inlineStr">
        <is>
          <t>UFGS_23_07_00.pdf</t>
        </is>
      </c>
      <c r="C173" s="2" t="n">
        <v>25</v>
      </c>
      <c r="D173" s="2" t="n">
        <v>22</v>
      </c>
      <c r="E173" s="2" t="inlineStr">
        <is>
          <t>Increase the specified insulation thickness for equipment where necessary to equal the thickness of angles or other structural members to make a smooth, exterior surface.</t>
        </is>
      </c>
      <c r="F173" s="2" t="inlineStr">
        <is>
          <t>Nē</t>
        </is>
      </c>
      <c r="G173" s="2" t="n"/>
    </row>
    <row r="174">
      <c r="A174" s="2" t="inlineStr">
        <is>
          <t>UFGS_23_07_0-P0025-023</t>
        </is>
      </c>
      <c r="B174" s="2" t="inlineStr">
        <is>
          <t>UFGS_23_07_00.pdf</t>
        </is>
      </c>
      <c r="C174" s="2" t="n">
        <v>25</v>
      </c>
      <c r="D174" s="2" t="n">
        <v>23</v>
      </c>
      <c r="E174" s="2" t="inlineStr">
        <is>
          <t>Submit a booklet containing manufacturer's published installation instructions for the insulation systems in coordination with the submitted MICA Insulation Stds plates booklet.</t>
        </is>
      </c>
      <c r="F174" s="2" t="inlineStr">
        <is>
          <t>?</t>
        </is>
      </c>
      <c r="G174" s="2" t="n"/>
    </row>
    <row r="175">
      <c r="A175" s="2" t="inlineStr">
        <is>
          <t>UFGS_23_07_0-P0025-024</t>
        </is>
      </c>
      <c r="B175" s="2" t="inlineStr">
        <is>
          <t>UFGS_23_07_00.pdf</t>
        </is>
      </c>
      <c r="C175" s="2" t="n">
        <v>25</v>
      </c>
      <c r="D175" s="2" t="n">
        <v>24</v>
      </c>
      <c r="E175" s="2" t="inlineStr">
        <is>
          <t>Annotate their installation instructions to indicate which product data and which MICA plate are applicable.</t>
        </is>
      </c>
      <c r="F175" s="2" t="inlineStr">
        <is>
          <t>Nē</t>
        </is>
      </c>
      <c r="G175" s="2" t="n"/>
    </row>
    <row r="176">
      <c r="A176" s="2" t="inlineStr">
        <is>
          <t>UFGS_23_07_0-P0025-025</t>
        </is>
      </c>
      <c r="B176" s="2" t="inlineStr">
        <is>
          <t>UFGS_23_07_00.pdf</t>
        </is>
      </c>
      <c r="C176" s="2" t="n">
        <v>25</v>
      </c>
      <c r="D176" s="2" t="n">
        <v>25</v>
      </c>
      <c r="E176" s="2" t="inlineStr">
        <is>
          <t>The instructions must be copyrighted, have an identifying or publication number, and have been published prior to the issuance date of this solicitation.</t>
        </is>
      </c>
      <c r="F176" s="2" t="inlineStr">
        <is>
          <t>Nē</t>
        </is>
      </c>
      <c r="G176" s="2" t="n"/>
    </row>
    <row r="177">
      <c r="A177" s="2" t="inlineStr">
        <is>
          <t>UFGS_23_07_0-P0025-026</t>
        </is>
      </c>
      <c r="B177" s="2" t="inlineStr">
        <is>
          <t>UFGS_23_07_00.pdf</t>
        </is>
      </c>
      <c r="C177" s="2" t="n">
        <v>25</v>
      </c>
      <c r="D177" s="2" t="n">
        <v>26</v>
      </c>
      <c r="E177" s="2" t="inlineStr">
        <is>
          <t>A booklet is also required by paragraphs titled: Pipe Insulation Systems and Duct Insulation Systems.</t>
        </is>
      </c>
      <c r="F177" s="2" t="inlineStr">
        <is>
          <t>Nē</t>
        </is>
      </c>
      <c r="G177" s="2" t="n"/>
    </row>
    <row r="178">
      <c r="A178" s="2" t="inlineStr">
        <is>
          <t>UFGS_23_07_0-P0025-027</t>
        </is>
      </c>
      <c r="B178" s="2" t="inlineStr">
        <is>
          <t>UFGS_23_07_00.pdf</t>
        </is>
      </c>
      <c r="C178" s="2" t="n">
        <v>25</v>
      </c>
      <c r="D178" s="2" t="n">
        <v>27</v>
      </c>
      <c r="E178" s="2" t="inlineStr">
        <is>
          <t>SECTION 23 07 00 Page 25</t>
        </is>
      </c>
      <c r="F178" s="2" t="inlineStr">
        <is>
          <t>Nē</t>
        </is>
      </c>
      <c r="G178" s="2" t="n"/>
    </row>
    <row r="179">
      <c r="A179" s="2" t="inlineStr">
        <is>
          <t>UFGS_23_07_0-P0037-001</t>
        </is>
      </c>
      <c r="B179" s="2" t="inlineStr">
        <is>
          <t>UFGS_23_07_00.pdf</t>
        </is>
      </c>
      <c r="C179" s="2" t="n">
        <v>37</v>
      </c>
      <c r="D179" s="2" t="n">
        <v>1</v>
      </c>
      <c r="E179" s="2" t="inlineStr">
        <is>
          <t>TABLE 2</t>
        </is>
      </c>
      <c r="F179" s="2" t="inlineStr">
        <is>
          <t>Nē</t>
        </is>
      </c>
      <c r="G179" s="2" t="n"/>
    </row>
    <row r="180">
      <c r="A180" s="2" t="inlineStr">
        <is>
          <t>UFGS_23_07_0-P0037-002</t>
        </is>
      </c>
      <c r="B180" s="2" t="inlineStr">
        <is>
          <t>UFGS_23_07_00.pdf</t>
        </is>
      </c>
      <c r="C180" s="2" t="n">
        <v>37</v>
      </c>
      <c r="D180" s="2" t="n">
        <v>2</v>
      </c>
      <c r="E180" s="2" t="inlineStr">
        <is>
          <t>Piping Insulation Thickness (mminch) For flexible cellular foam the thickness should be 13mm instead of 15mm.</t>
        </is>
      </c>
      <c r="F180" s="2" t="inlineStr">
        <is>
          <t>Nē</t>
        </is>
      </c>
      <c r="G180" s="2" t="n"/>
    </row>
    <row r="181">
      <c r="A181" s="2" t="inlineStr">
        <is>
          <t>UFGS_23_07_0-P0037-003</t>
        </is>
      </c>
      <c r="B181" s="2" t="inlineStr">
        <is>
          <t>UFGS_23_07_00.pdf</t>
        </is>
      </c>
      <c r="C181" s="2" t="n">
        <v>37</v>
      </c>
      <c r="D181" s="2" t="n">
        <v>3</v>
      </c>
      <c r="E181" s="2" t="inlineStr">
        <is>
          <t>Economic thickness or prevention of condensation is the basis of these tables.</t>
        </is>
      </c>
      <c r="F181" s="2" t="inlineStr">
        <is>
          <t>Nē</t>
        </is>
      </c>
      <c r="G181" s="2" t="n"/>
    </row>
    <row r="182">
      <c r="A182" s="2" t="inlineStr">
        <is>
          <t>UFGS_23_07_0-P0037-004</t>
        </is>
      </c>
      <c r="B182" s="2" t="inlineStr">
        <is>
          <t>UFGS_23_07_00.pdf</t>
        </is>
      </c>
      <c r="C182" s="2" t="n">
        <v>37</v>
      </c>
      <c r="D182" s="2" t="n">
        <v>4</v>
      </c>
      <c r="E182" s="2" t="inlineStr">
        <is>
          <t>If prevention of condensation is the criterion, the ambient temperature and relative humidity must be stated.</t>
        </is>
      </c>
      <c r="F182" s="2" t="inlineStr">
        <is>
          <t>Nē</t>
        </is>
      </c>
      <c r="G182" s="2" t="n"/>
    </row>
    <row r="183">
      <c r="A183" s="2" t="inlineStr">
        <is>
          <t>UFGS_23_07_0-P0037-005</t>
        </is>
      </c>
      <c r="B183" s="2" t="inlineStr">
        <is>
          <t>UFGS_23_07_00.pdf</t>
        </is>
      </c>
      <c r="C183" s="2" t="n">
        <v>37</v>
      </c>
      <c r="D183" s="2" t="n">
        <v>5</v>
      </c>
      <c r="E183" s="2" t="inlineStr">
        <is>
          <t>Service</t>
        </is>
      </c>
      <c r="F183" s="2" t="inlineStr">
        <is>
          <t>Nē</t>
        </is>
      </c>
      <c r="G183" s="2" t="n"/>
    </row>
    <row r="184">
      <c r="A184" s="2" t="inlineStr">
        <is>
          <t>UFGS_23_07_0-P0037-006</t>
        </is>
      </c>
      <c r="B184" s="2" t="inlineStr">
        <is>
          <t>UFGS_23_07_00.pdf</t>
        </is>
      </c>
      <c r="C184" s="2" t="n">
        <v>37</v>
      </c>
      <c r="D184" s="2" t="n">
        <v>6</v>
      </c>
      <c r="E184" s="2" t="inlineStr">
        <is>
          <t>Material Conductivity Tube And Pipe Size (mm) (inch) K-value (W/m^2-K) (Btu-in/ hr-ft^2-deg F)</t>
        </is>
      </c>
      <c r="F184" s="2" t="inlineStr">
        <is>
          <t>Nē</t>
        </is>
      </c>
      <c r="G184" s="2" t="n"/>
    </row>
    <row r="185">
      <c r="A185" s="2" t="inlineStr">
        <is>
          <t>UFGS_23_07_0-P0037-007</t>
        </is>
      </c>
      <c r="B185" s="2" t="inlineStr">
        <is>
          <t>UFGS_23_07_00.pdf</t>
        </is>
      </c>
      <c r="C185" s="2" t="n">
        <v>37</v>
      </c>
      <c r="D185" s="2" t="n">
        <v>7</v>
      </c>
      <c r="E185" s="2" t="inlineStr">
        <is>
          <t>&lt;25&lt;1 25-&lt;40 40-&lt;100 100-&lt;200 &gt; or = 200&gt;8 1-&lt;1.5 1.5-&lt;4 4-&lt;8</t>
        </is>
      </c>
      <c r="F185" s="2" t="inlineStr">
        <is>
          <t>Nē</t>
        </is>
      </c>
      <c r="G185" s="2" t="n"/>
    </row>
    <row r="186">
      <c r="A186" s="2" t="inlineStr">
        <is>
          <t>UFGS_23_07_0-P0037-008</t>
        </is>
      </c>
      <c r="B186" s="2" t="inlineStr">
        <is>
          <t>UFGS_23_07_00.pdf</t>
        </is>
      </c>
      <c r="C186" s="2" t="n">
        <v>37</v>
      </c>
      <c r="D186" s="2" t="n">
        <v>8</v>
      </c>
      <c r="E186" s="2" t="inlineStr">
        <is>
          <t>Cellular Glass 0.049 50 50 65 65 65 0.34 2 2 2.5 2.5 2.5</t>
        </is>
      </c>
      <c r="F186" s="2" t="inlineStr">
        <is>
          <t>Nē</t>
        </is>
      </c>
      <c r="G186" s="2" t="n"/>
    </row>
    <row r="187">
      <c r="A187" s="2" t="inlineStr">
        <is>
          <t>UFGS_23_07_0-P0037-009</t>
        </is>
      </c>
      <c r="B187" s="2" t="inlineStr">
        <is>
          <t>UFGS_23_07_00.pdf</t>
        </is>
      </c>
      <c r="C187" s="2" t="n">
        <v>37</v>
      </c>
      <c r="D187" s="2" t="n">
        <v>9</v>
      </c>
      <c r="E187" s="2" t="inlineStr">
        <is>
          <t>Flexible Elastomeric 0.043 40 40 50 N/A N/A Cellular 0.30 1.5 1.5 2</t>
        </is>
      </c>
      <c r="F187" s="2" t="inlineStr">
        <is>
          <t>Nē</t>
        </is>
      </c>
      <c r="G187" s="2" t="n"/>
    </row>
    <row r="188">
      <c r="A188" s="2" t="inlineStr">
        <is>
          <t>UFGS_23_07_0-P0037-010</t>
        </is>
      </c>
      <c r="B188" s="2" t="inlineStr">
        <is>
          <t>UFGS_23_07_00.pdf</t>
        </is>
      </c>
      <c r="C188" s="2" t="n">
        <v>37</v>
      </c>
      <c r="D188" s="2" t="n">
        <v>10</v>
      </c>
      <c r="E188" s="2" t="inlineStr">
        <is>
          <t>Refrigerant Suction Piping (1.67 degrees C35 degrees F nominal)</t>
        </is>
      </c>
      <c r="F188" s="2" t="inlineStr">
        <is>
          <t>Nē</t>
        </is>
      </c>
      <c r="G188" s="2" t="n"/>
    </row>
    <row r="189">
      <c r="A189" s="2" t="inlineStr">
        <is>
          <t>UFGS_23_07_0-P0037-011</t>
        </is>
      </c>
      <c r="B189" s="2" t="inlineStr">
        <is>
          <t>UFGS_23_07_00.pdf</t>
        </is>
      </c>
      <c r="C189" s="2" t="n">
        <v>37</v>
      </c>
      <c r="D189" s="2" t="n">
        <v>11</v>
      </c>
      <c r="E189" s="2" t="inlineStr">
        <is>
          <t>Flexible Elastomeric 0.034 251 251 251 N/A N/A Cellular 0.235 Cellular Glass 0.042 401.5 401.5 401.5 401.5 401.5 0.29 Compressed Air Discharge, Steam and Condensate Return (94 to 121 Degrees C201 to 250 Degrees F Mineral Fiber 0.039 65 65 65 75 75 0.27 2.5 2.5 2.5 3 3</t>
        </is>
      </c>
      <c r="F189" s="2" t="inlineStr">
        <is>
          <t>Nē</t>
        </is>
      </c>
      <c r="G189" s="2" t="n"/>
    </row>
    <row r="190">
      <c r="A190" s="2" t="inlineStr">
        <is>
          <t>UFGS_23_07_0-P0037-012</t>
        </is>
      </c>
      <c r="B190" s="2" t="inlineStr">
        <is>
          <t>UFGS_23_07_00.pdf</t>
        </is>
      </c>
      <c r="C190" s="2" t="n">
        <v>37</v>
      </c>
      <c r="D190" s="2" t="n">
        <v>12</v>
      </c>
      <c r="E190" s="2" t="inlineStr">
        <is>
          <t>Calcium Silicate 0.053 652.5 803 1004 1004 1154.5 0.37 Cellular Glass 0.050 502 652.5 803 803 803 0.35 Exposed Lavatory Drains, Exposed Domestic Water Piping &amp; Drains to Areas for Handicapped Personnel Flexible Elastomeric 130.5 130.5 130.5 130.5 130.5 Cellular Condensate Drain Located Inside Building</t>
        </is>
      </c>
      <c r="F190" s="2" t="inlineStr">
        <is>
          <t>Nē</t>
        </is>
      </c>
      <c r="G190" s="2" t="n"/>
    </row>
    <row r="191">
      <c r="A191" s="2" t="inlineStr">
        <is>
          <t>UFGS_23_07_0-P0037-013</t>
        </is>
      </c>
      <c r="B191" s="2" t="inlineStr">
        <is>
          <t>UFGS_23_07_00.pdf</t>
        </is>
      </c>
      <c r="C191" s="2" t="n">
        <v>37</v>
      </c>
      <c r="D191" s="2" t="n">
        <v>13</v>
      </c>
      <c r="E191" s="2" t="inlineStr">
        <is>
          <t>Cellular Glass 0.043 401.5 401.5 401.5 401.5 401.5 0.30 Flexible Elastomeric 0.034 251 251 251 N/A N/A Cellular 0.235</t>
        </is>
      </c>
      <c r="F191" s="2" t="inlineStr">
        <is>
          <t>Nē</t>
        </is>
      </c>
      <c r="G191" s="2" t="n"/>
    </row>
    <row r="192">
      <c r="A192" s="2" t="inlineStr">
        <is>
          <t>UFGS_23_07_0-P0037-014</t>
        </is>
      </c>
      <c r="B192" s="2" t="inlineStr">
        <is>
          <t>UFGS_23_07_00.pdf</t>
        </is>
      </c>
      <c r="C192" s="2" t="n">
        <v>37</v>
      </c>
      <c r="D192" s="2" t="n">
        <v>14</v>
      </c>
      <c r="E192" s="2" t="inlineStr">
        <is>
          <t>SECTION 23 07 00 Page 37</t>
        </is>
      </c>
      <c r="F192" s="2" t="inlineStr">
        <is>
          <t>Nē</t>
        </is>
      </c>
      <c r="G192" s="2" t="n"/>
    </row>
    <row r="193">
      <c r="A193" s="2" t="inlineStr">
        <is>
          <t>UFGS_23_07_0-P0047-001</t>
        </is>
      </c>
      <c r="B193" s="2" t="inlineStr">
        <is>
          <t>UFGS_23_07_00.pdf</t>
        </is>
      </c>
      <c r="C193" s="2" t="n">
        <v>47</v>
      </c>
      <c r="D193" s="2" t="n">
        <v>1</v>
      </c>
      <c r="E193" s="2" t="inlineStr">
        <is>
          <t>g. Finish insulation, including fittings, with three coats of asphaltic mastic, with 6 by 5.5 mesh synthetic reinforcing fabric embedded between coats.</t>
        </is>
      </c>
      <c r="F193" s="2" t="inlineStr">
        <is>
          <t>Nē</t>
        </is>
      </c>
      <c r="G193" s="2" t="n"/>
    </row>
    <row r="194">
      <c r="A194" s="2" t="inlineStr">
        <is>
          <t>UFGS_23_07_0-P0047-002</t>
        </is>
      </c>
      <c r="B194" s="2" t="inlineStr">
        <is>
          <t>UFGS_23_07_00.pdf</t>
        </is>
      </c>
      <c r="C194" s="2" t="n">
        <v>47</v>
      </c>
      <c r="D194" s="2" t="n">
        <v>2</v>
      </c>
      <c r="E194" s="2" t="inlineStr">
        <is>
          <t>Overlap fabric a minimum of 50 mm 2 inches at joints.</t>
        </is>
      </c>
      <c r="F194" s="2" t="inlineStr">
        <is>
          <t>Nē</t>
        </is>
      </c>
      <c r="G194" s="2" t="n"/>
    </row>
    <row r="195">
      <c r="A195" s="2" t="inlineStr">
        <is>
          <t>UFGS_23_07_0-P0047-003</t>
        </is>
      </c>
      <c r="B195" s="2" t="inlineStr">
        <is>
          <t>UFGS_23_07_00.pdf</t>
        </is>
      </c>
      <c r="C195" s="2" t="n">
        <v>47</v>
      </c>
      <c r="D195" s="2" t="n">
        <v>3</v>
      </c>
      <c r="E195" s="2" t="inlineStr">
        <is>
          <t>Ensure total film thickness is a minimum of 4.7 mm 3/16 inch.</t>
        </is>
      </c>
      <c r="F195" s="2" t="inlineStr">
        <is>
          <t>Nē</t>
        </is>
      </c>
      <c r="G195" s="2" t="n"/>
    </row>
    <row r="196">
      <c r="A196" s="2" t="inlineStr">
        <is>
          <t>UFGS_23_07_0-P0047-004</t>
        </is>
      </c>
      <c r="B196" s="2" t="inlineStr">
        <is>
          <t>UFGS_23_07_00.pdf</t>
        </is>
      </c>
      <c r="C196" s="2" t="n">
        <v>47</v>
      </c>
      <c r="D196" s="2" t="n">
        <v>4</v>
      </c>
      <c r="E196" s="2" t="inlineStr">
        <is>
          <t>As an alternate, apply a prefabricated bituminous laminated jacket, reinforced with internal reinforcement mesh, to the insulation.</t>
        </is>
      </c>
      <c r="F196" s="2" t="inlineStr">
        <is>
          <t>Nē</t>
        </is>
      </c>
      <c r="G196" s="2" t="n"/>
    </row>
    <row r="197">
      <c r="A197" s="2" t="inlineStr">
        <is>
          <t>UFGS_23_07_0-P0047-005</t>
        </is>
      </c>
      <c r="B197" s="2" t="inlineStr">
        <is>
          <t>UFGS_23_07_00.pdf</t>
        </is>
      </c>
      <c r="C197" s="2" t="n">
        <v>47</v>
      </c>
      <c r="D197" s="2" t="n">
        <v>5</v>
      </c>
      <c r="E197" s="2" t="inlineStr">
        <is>
          <t>Use jacketing material and application procedures that match manufacturer's written instructions.</t>
        </is>
      </c>
      <c r="F197" s="2" t="inlineStr">
        <is>
          <t>Nē</t>
        </is>
      </c>
      <c r="G197" s="2" t="n"/>
    </row>
    <row r="198">
      <c r="A198" s="2" t="inlineStr">
        <is>
          <t>UFGS_23_07_0-P0047-006</t>
        </is>
      </c>
      <c r="B198" s="2" t="inlineStr">
        <is>
          <t>UFGS_23_07_00.pdf</t>
        </is>
      </c>
      <c r="C198" s="2" t="n">
        <v>47</v>
      </c>
      <c r="D198" s="2" t="n">
        <v>6</v>
      </c>
      <c r="E198" s="2" t="inlineStr">
        <is>
          <t>Vapor barrier - less than 0.02 permeability self adhesive (minimum 0.05 mm 2 mils adhesive, 0.075 mm 3 mils embossed) jacket greater than 3 ply, standard grade, silver, white, black and embossed or greater than 8 ply (minimum 0.072 2.9 mils adhesive), heavy duty, white or natural).</t>
        </is>
      </c>
      <c r="F198" s="2" t="inlineStr">
        <is>
          <t>Nē</t>
        </is>
      </c>
      <c r="G198" s="2" t="n"/>
    </row>
    <row r="199">
      <c r="A199" s="2" t="inlineStr">
        <is>
          <t>UFGS_23_07_0-P0047-007</t>
        </is>
      </c>
      <c r="B199" s="2" t="inlineStr">
        <is>
          <t>UFGS_23_07_00.pdf</t>
        </is>
      </c>
      <c r="C199" s="2" t="n">
        <v>47</v>
      </c>
      <c r="D199" s="2" t="n">
        <v>7</v>
      </c>
      <c r="E199" s="2" t="inlineStr">
        <is>
          <t>Use application procedures that match the manufacturer's written instructions.</t>
        </is>
      </c>
      <c r="F199" s="2" t="inlineStr">
        <is>
          <t>Nē</t>
        </is>
      </c>
      <c r="G199" s="2" t="n"/>
    </row>
    <row r="200">
      <c r="A200" s="2" t="inlineStr">
        <is>
          <t>UFGS_23_07_0-P0047-008</t>
        </is>
      </c>
      <c r="B200" s="2" t="inlineStr">
        <is>
          <t>UFGS_23_07_00.pdf</t>
        </is>
      </c>
      <c r="C200" s="2" t="n">
        <v>47</v>
      </c>
      <c r="D200" s="2" t="n">
        <v>8</v>
      </c>
      <c r="E200" s="2" t="inlineStr">
        <is>
          <t>h. At termination points, other than building entrances, use mastic and cloth or tape to cover the ends of insulation and extend 50 mm 2 inches along the bare pipe.</t>
        </is>
      </c>
      <c r="F200" s="2" t="inlineStr">
        <is>
          <t>Nē</t>
        </is>
      </c>
      <c r="G200" s="2" t="n"/>
    </row>
    <row r="201">
      <c r="A201" s="2" t="inlineStr">
        <is>
          <t>UFGS_23_07_0-P0047-009</t>
        </is>
      </c>
      <c r="B201" s="2" t="inlineStr">
        <is>
          <t>UFGS_23_07_00.pdf</t>
        </is>
      </c>
      <c r="C201" s="2" t="n">
        <v>47</v>
      </c>
      <c r="D201" s="2" t="n">
        <v>9</v>
      </c>
      <c r="E201" s="2" t="inlineStr">
        <is>
          <t>3.3 DUCT INSULATION SYSTEMS INSTALLATION</t>
        </is>
      </c>
      <c r="F201" s="2" t="inlineStr">
        <is>
          <t>Nē</t>
        </is>
      </c>
      <c r="G201" s="2" t="n"/>
    </row>
    <row r="202">
      <c r="A202" s="2" t="inlineStr">
        <is>
          <t>UFGS_23_07_0-P0047-010</t>
        </is>
      </c>
      <c r="B202" s="2" t="inlineStr">
        <is>
          <t>UFGS_23_07_00.pdf</t>
        </is>
      </c>
      <c r="C202" s="2" t="n">
        <v>47</v>
      </c>
      <c r="D202" s="2" t="n">
        <v>10</v>
      </c>
      <c r="E202" s="2" t="inlineStr">
        <is>
          <t>NOTE: Insulation may be omitted on heating duct in heated spaces.</t>
        </is>
      </c>
      <c r="F202" s="2" t="inlineStr">
        <is>
          <t>Nē</t>
        </is>
      </c>
      <c r="G202" s="2" t="n"/>
    </row>
    <row r="203">
      <c r="A203" s="2" t="inlineStr">
        <is>
          <t>UFGS_23_07_0-P0047-011</t>
        </is>
      </c>
      <c r="B203" s="2" t="inlineStr">
        <is>
          <t>UFGS_23_07_00.pdf</t>
        </is>
      </c>
      <c r="C203" s="2" t="n">
        <v>47</v>
      </c>
      <c r="D203" s="2" t="n">
        <v>11</v>
      </c>
      <c r="E203" s="2" t="inlineStr">
        <is>
          <t>Designer will determine if internally lined ducts are comparable in insulating value to those unlined ducts to be insulated.</t>
        </is>
      </c>
      <c r="F203" s="2" t="inlineStr">
        <is>
          <t>Nē</t>
        </is>
      </c>
      <c r="G203" s="2" t="n"/>
    </row>
    <row r="204">
      <c r="A204" s="2" t="inlineStr">
        <is>
          <t>UFGS_23_07_0-P0047-012</t>
        </is>
      </c>
      <c r="B204" s="2" t="inlineStr">
        <is>
          <t>UFGS_23_07_00.pdf</t>
        </is>
      </c>
      <c r="C204" s="2" t="n">
        <v>47</v>
      </c>
      <c r="D204" s="2" t="n">
        <v>12</v>
      </c>
      <c r="E204" s="2" t="inlineStr">
        <is>
          <t>If not, field insulation will be added.</t>
        </is>
      </c>
      <c r="F204" s="2" t="inlineStr">
        <is>
          <t>Nē</t>
        </is>
      </c>
      <c r="G204" s="2" t="n"/>
    </row>
    <row r="205">
      <c r="A205" s="2" t="inlineStr">
        <is>
          <t>UFGS_23_07_0-P0047-013</t>
        </is>
      </c>
      <c r="B205" s="2" t="inlineStr">
        <is>
          <t>UFGS_23_07_00.pdf</t>
        </is>
      </c>
      <c r="C205" s="2" t="n">
        <v>47</v>
      </c>
      <c r="D205" s="2" t="n">
        <v>13</v>
      </c>
      <c r="E205" s="2" t="inlineStr">
        <is>
          <t>The designer must maintain conditioned space control under cooling and heating conditions - meet the energy budget, and not allow condensation formation.</t>
        </is>
      </c>
      <c r="F205" s="2" t="inlineStr">
        <is>
          <t>Nē</t>
        </is>
      </c>
      <c r="G205" s="2" t="n"/>
    </row>
    <row r="206">
      <c r="A206" s="2" t="inlineStr">
        <is>
          <t>UFGS_23_07_0-P0047-014</t>
        </is>
      </c>
      <c r="B206" s="2" t="inlineStr">
        <is>
          <t>UFGS_23_07_00.pdf</t>
        </is>
      </c>
      <c r="C206" s="2" t="n">
        <v>47</v>
      </c>
      <c r="D206" s="2" t="n">
        <v>14</v>
      </c>
      <c r="E206" s="2" t="inlineStr">
        <is>
          <t>The following do not require insulation: factory fabricated double wall internally insulated duct, glass fiber duct, site-erected air conditioning casings and plenums constructed of factory-insulated sheet metal panels, ducts internally lined with insulation or sound absorbing material, unless indicated otherwise, return ducts in ceiling spaces or as indicated, supply ducts in ceiling spaces which are used as return air plenums (or as indicated), factory pre-insulated flexible ducts, ducts within HVAC equipment, exhaust air ducts unless noted, and duct portions inside walls or floor-ceiling space in which both sides of the space are exposed to conditioned air and the space is not vented or exposed to unconditioned air.</t>
        </is>
      </c>
      <c r="F206" s="2" t="inlineStr">
        <is>
          <t>Nē</t>
        </is>
      </c>
      <c r="G206" s="2" t="n"/>
    </row>
    <row r="207">
      <c r="A207" s="2" t="inlineStr">
        <is>
          <t>UFGS_23_07_0-P0047-015</t>
        </is>
      </c>
      <c r="B207" s="2" t="inlineStr">
        <is>
          <t>UFGS_23_07_00.pdf</t>
        </is>
      </c>
      <c r="C207" s="2" t="n">
        <v>47</v>
      </c>
      <c r="D207" s="2" t="n">
        <v>15</v>
      </c>
      <c r="E207" s="2" t="inlineStr">
        <is>
          <t>In humid locations identified in ASHRAE 90.1 as Climate Zones 0A, 1A, 2A, 3A, 3C, 4C and 5C, exposed outdoor duct must be factory fabricated double wall internally insulated duct.</t>
        </is>
      </c>
      <c r="F207" s="2" t="inlineStr">
        <is>
          <t>Nē</t>
        </is>
      </c>
      <c r="G207" s="2" t="n"/>
    </row>
    <row r="208">
      <c r="A208" s="2" t="inlineStr">
        <is>
          <t>UFGS_23_07_0-P0047-016</t>
        </is>
      </c>
      <c r="B208" s="2" t="inlineStr">
        <is>
          <t>UFGS_23_07_00.pdf</t>
        </is>
      </c>
      <c r="C208" s="2" t="n">
        <v>47</v>
      </c>
      <c r="D208" s="2" t="n">
        <v>16</v>
      </c>
      <c r="E208" s="2" t="inlineStr">
        <is>
          <t>Ceiling spaces are defined as those spaces between the ceiling and bottom of floor deck or roof deck inside the air-conditioned space insulated envelope, and ceilings that form plenums.</t>
        </is>
      </c>
      <c r="F208" s="2" t="inlineStr">
        <is>
          <t>Nē</t>
        </is>
      </c>
      <c r="G208" s="2" t="n"/>
    </row>
    <row r="209">
      <c r="A209" s="2" t="inlineStr">
        <is>
          <t>UFGS_23_07_0-P0047-017</t>
        </is>
      </c>
      <c r="B209" s="2" t="inlineStr">
        <is>
          <t>UFGS_23_07_00.pdf</t>
        </is>
      </c>
      <c r="C209" s="2" t="n">
        <v>47</v>
      </c>
      <c r="D209" s="2" t="n">
        <v>17</v>
      </c>
      <c r="E209" s="2" t="inlineStr">
        <is>
          <t>ASHRAE 90.2 is for low-rise residential building.</t>
        </is>
      </c>
      <c r="F209" s="2" t="inlineStr">
        <is>
          <t>Nē</t>
        </is>
      </c>
      <c r="G209" s="2" t="n"/>
    </row>
    <row r="210">
      <c r="A210" s="2" t="inlineStr">
        <is>
          <t>UFGS_23_07_0-P0047-018</t>
        </is>
      </c>
      <c r="B210" s="2" t="inlineStr">
        <is>
          <t>UFGS_23_07_00.pdf</t>
        </is>
      </c>
      <c r="C210" s="2" t="n">
        <v>47</v>
      </c>
      <c r="D210" s="2" t="n">
        <v>18</v>
      </c>
      <c r="E210" s="2" t="inlineStr">
        <is>
          <t>SECTION 23 07 00 Page 47</t>
        </is>
      </c>
      <c r="F210" s="2" t="inlineStr">
        <is>
          <t>Nē</t>
        </is>
      </c>
      <c r="G210" s="2" t="n"/>
    </row>
    <row r="211">
      <c r="A211" s="2" t="inlineStr">
        <is>
          <t>UFGS_23_07_0-P0054-001</t>
        </is>
      </c>
      <c r="B211" s="2" t="inlineStr">
        <is>
          <t>UFGS_23_07_00.pdf</t>
        </is>
      </c>
      <c r="C211" s="2" t="n">
        <v>54</v>
      </c>
      <c r="D211" s="2" t="n">
        <v>1</v>
      </c>
      <c r="E211" s="2" t="inlineStr">
        <is>
          <t>associated equipment:.</t>
        </is>
      </c>
      <c r="F211" s="2" t="inlineStr">
        <is>
          <t>Nē</t>
        </is>
      </c>
      <c r="G211" s="2" t="n"/>
    </row>
    <row r="212">
      <c r="A212" s="2" t="inlineStr">
        <is>
          <t>UFGS_23_07_0-P0054-002</t>
        </is>
      </c>
      <c r="B212" s="2" t="inlineStr">
        <is>
          <t>UFGS_23_07_00.pdf</t>
        </is>
      </c>
      <c r="C212" s="2" t="n">
        <v>54</v>
      </c>
      <c r="D212" s="2" t="n">
        <v>2</v>
      </c>
      <c r="E212" s="2" t="inlineStr">
        <is>
          <t>a. Supply ducts.</t>
        </is>
      </c>
      <c r="F212" s="2" t="inlineStr">
        <is>
          <t>Nē</t>
        </is>
      </c>
      <c r="G212" s="2" t="n"/>
    </row>
    <row r="213">
      <c r="A213" s="2" t="inlineStr">
        <is>
          <t>UFGS_23_07_0-P0054-003</t>
        </is>
      </c>
      <c r="B213" s="2" t="inlineStr">
        <is>
          <t>UFGS_23_07_00.pdf</t>
        </is>
      </c>
      <c r="C213" s="2" t="n">
        <v>54</v>
      </c>
      <c r="D213" s="2" t="n">
        <v>3</v>
      </c>
      <c r="E213" s="2" t="inlineStr">
        <is>
          <t>b. Return air ducts.</t>
        </is>
      </c>
      <c r="F213" s="2" t="inlineStr">
        <is>
          <t>Nē</t>
        </is>
      </c>
      <c r="G213" s="2" t="n"/>
    </row>
    <row r="214">
      <c r="A214" s="2" t="inlineStr">
        <is>
          <t>UFGS_23_07_0-P0054-004</t>
        </is>
      </c>
      <c r="B214" s="2" t="inlineStr">
        <is>
          <t>UFGS_23_07_00.pdf</t>
        </is>
      </c>
      <c r="C214" s="2" t="n">
        <v>54</v>
      </c>
      <c r="D214" s="2" t="n">
        <v>4</v>
      </c>
      <c r="E214" s="2" t="inlineStr">
        <is>
          <t>c. Relief air ducts</t>
        </is>
      </c>
      <c r="F214" s="2" t="inlineStr">
        <is>
          <t>Nē</t>
        </is>
      </c>
      <c r="G214" s="2" t="n"/>
    </row>
    <row r="215">
      <c r="A215" s="2" t="inlineStr">
        <is>
          <t>UFGS_23_07_0-P0054-005</t>
        </is>
      </c>
      <c r="B215" s="2" t="inlineStr">
        <is>
          <t>UFGS_23_07_00.pdf</t>
        </is>
      </c>
      <c r="C215" s="2" t="n">
        <v>54</v>
      </c>
      <c r="D215" s="2" t="n">
        <v>5</v>
      </c>
      <c r="E215" s="2" t="inlineStr">
        <is>
          <t>d. Flexible run-outs (field insulated).</t>
        </is>
      </c>
      <c r="F215" s="2" t="inlineStr">
        <is>
          <t>Nē</t>
        </is>
      </c>
      <c r="G215" s="2" t="n"/>
    </row>
    <row r="216">
      <c r="A216" s="2" t="inlineStr">
        <is>
          <t>UFGS_23_07_0-P0054-006</t>
        </is>
      </c>
      <c r="B216" s="2" t="inlineStr">
        <is>
          <t>UFGS_23_07_00.pdf</t>
        </is>
      </c>
      <c r="C216" s="2" t="n">
        <v>54</v>
      </c>
      <c r="D216" s="2" t="n">
        <v>6</v>
      </c>
      <c r="E216" s="2" t="inlineStr">
        <is>
          <t>e. Plenums.</t>
        </is>
      </c>
      <c r="F216" s="2" t="inlineStr">
        <is>
          <t>Nē</t>
        </is>
      </c>
      <c r="G216" s="2" t="n"/>
    </row>
    <row r="217">
      <c r="A217" s="2" t="inlineStr">
        <is>
          <t>UFGS_23_07_0-P0054-007</t>
        </is>
      </c>
      <c r="B217" s="2" t="inlineStr">
        <is>
          <t>UFGS_23_07_00.pdf</t>
        </is>
      </c>
      <c r="C217" s="2" t="n">
        <v>54</v>
      </c>
      <c r="D217" s="2" t="n">
        <v>7</v>
      </c>
      <c r="E217" s="2" t="inlineStr">
        <is>
          <t>f. Duct-mounted coil casings.</t>
        </is>
      </c>
      <c r="F217" s="2" t="inlineStr">
        <is>
          <t>Nē</t>
        </is>
      </c>
      <c r="G217" s="2" t="n"/>
    </row>
    <row r="218">
      <c r="A218" s="2" t="inlineStr">
        <is>
          <t>UFGS_23_07_0-P0054-008</t>
        </is>
      </c>
      <c r="B218" s="2" t="inlineStr">
        <is>
          <t>UFGS_23_07_00.pdf</t>
        </is>
      </c>
      <c r="C218" s="2" t="n">
        <v>54</v>
      </c>
      <c r="D218" s="2" t="n">
        <v>8</v>
      </c>
      <c r="E218" s="2" t="inlineStr">
        <is>
          <t>g. Coil-headers and return bends.</t>
        </is>
      </c>
      <c r="F218" s="2" t="inlineStr">
        <is>
          <t>Nē</t>
        </is>
      </c>
      <c r="G218" s="2" t="n"/>
    </row>
    <row r="219">
      <c r="A219" s="2" t="inlineStr">
        <is>
          <t>UFGS_23_07_0-P0054-009</t>
        </is>
      </c>
      <c r="B219" s="2" t="inlineStr">
        <is>
          <t>UFGS_23_07_00.pdf</t>
        </is>
      </c>
      <c r="C219" s="2" t="n">
        <v>54</v>
      </c>
      <c r="D219" s="2" t="n">
        <v>9</v>
      </c>
      <c r="E219" s="2" t="inlineStr">
        <is>
          <t>h. Coil casings.</t>
        </is>
      </c>
      <c r="F219" s="2" t="inlineStr">
        <is>
          <t>Nē</t>
        </is>
      </c>
      <c r="G219" s="2" t="n"/>
    </row>
    <row r="220">
      <c r="A220" s="2" t="inlineStr">
        <is>
          <t>UFGS_23_07_0-P0054-010</t>
        </is>
      </c>
      <c r="B220" s="2" t="inlineStr">
        <is>
          <t>UFGS_23_07_00.pdf</t>
        </is>
      </c>
      <c r="C220" s="2" t="n">
        <v>54</v>
      </c>
      <c r="D220" s="2" t="n">
        <v>10</v>
      </c>
      <c r="E220" s="2" t="inlineStr">
        <is>
          <t>i. Fresh air intake ducts.</t>
        </is>
      </c>
      <c r="F220" s="2" t="inlineStr">
        <is>
          <t>Nē</t>
        </is>
      </c>
      <c r="G220" s="2" t="n"/>
    </row>
    <row r="221">
      <c r="A221" s="2" t="inlineStr">
        <is>
          <t>UFGS_23_07_0-P0054-011</t>
        </is>
      </c>
      <c r="B221" s="2" t="inlineStr">
        <is>
          <t>UFGS_23_07_00.pdf</t>
        </is>
      </c>
      <c r="C221" s="2" t="n">
        <v>54</v>
      </c>
      <c r="D221" s="2" t="n">
        <v>11</v>
      </c>
      <c r="E221" s="2" t="inlineStr">
        <is>
          <t>j. Filter boxes.</t>
        </is>
      </c>
      <c r="F221" s="2" t="inlineStr">
        <is>
          <t>Nē</t>
        </is>
      </c>
      <c r="G221" s="2" t="n"/>
    </row>
    <row r="222">
      <c r="A222" s="2" t="inlineStr">
        <is>
          <t>UFGS_23_07_0-P0054-012</t>
        </is>
      </c>
      <c r="B222" s="2" t="inlineStr">
        <is>
          <t>UFGS_23_07_00.pdf</t>
        </is>
      </c>
      <c r="C222" s="2" t="n">
        <v>54</v>
      </c>
      <c r="D222" s="2" t="n">
        <v>12</v>
      </c>
      <c r="E222" s="2" t="inlineStr">
        <is>
          <t>k. Mixing boxes.</t>
        </is>
      </c>
      <c r="F222" s="2" t="inlineStr">
        <is>
          <t>Nē</t>
        </is>
      </c>
      <c r="G222" s="2" t="n"/>
    </row>
    <row r="223">
      <c r="A223" s="2" t="inlineStr">
        <is>
          <t>UFGS_23_07_0-P0054-013</t>
        </is>
      </c>
      <c r="B223" s="2" t="inlineStr">
        <is>
          <t>UFGS_23_07_00.pdf</t>
        </is>
      </c>
      <c r="C223" s="2" t="n">
        <v>54</v>
      </c>
      <c r="D223" s="2" t="n">
        <v>13</v>
      </c>
      <c r="E223" s="2" t="inlineStr">
        <is>
          <t>l. Supply fans.</t>
        </is>
      </c>
      <c r="F223" s="2" t="inlineStr">
        <is>
          <t>Nē</t>
        </is>
      </c>
      <c r="G223" s="2" t="n"/>
    </row>
    <row r="224">
      <c r="A224" s="2" t="inlineStr">
        <is>
          <t>UFGS_23_07_0-P0054-014</t>
        </is>
      </c>
      <c r="B224" s="2" t="inlineStr">
        <is>
          <t>UFGS_23_07_00.pdf</t>
        </is>
      </c>
      <c r="C224" s="2" t="n">
        <v>54</v>
      </c>
      <c r="D224" s="2" t="n">
        <v>14</v>
      </c>
      <c r="E224" s="2" t="inlineStr">
        <is>
          <t>m. Site-erected air conditioner casings.</t>
        </is>
      </c>
      <c r="F224" s="2" t="inlineStr">
        <is>
          <t>Nē</t>
        </is>
      </c>
      <c r="G224" s="2" t="n"/>
    </row>
    <row r="225">
      <c r="A225" s="2" t="inlineStr">
        <is>
          <t>UFGS_23_07_0-P0054-015</t>
        </is>
      </c>
      <c r="B225" s="2" t="inlineStr">
        <is>
          <t>UFGS_23_07_00.pdf</t>
        </is>
      </c>
      <c r="C225" s="2" t="n">
        <v>54</v>
      </c>
      <c r="D225" s="2" t="n">
        <v>15</v>
      </c>
      <c r="E225" s="2" t="inlineStr">
        <is>
          <t>n. Ducts exposed to weather.</t>
        </is>
      </c>
      <c r="F225" s="2" t="inlineStr">
        <is>
          <t>Nē</t>
        </is>
      </c>
      <c r="G225" s="2" t="n"/>
    </row>
    <row r="226">
      <c r="A226" s="2" t="inlineStr">
        <is>
          <t>UFGS_23_07_0-P0054-016</t>
        </is>
      </c>
      <c r="B226" s="2" t="inlineStr">
        <is>
          <t>UFGS_23_07_00.pdf</t>
        </is>
      </c>
      <c r="C226" s="2" t="n">
        <v>54</v>
      </c>
      <c r="D226" s="2" t="n">
        <v>16</v>
      </c>
      <c r="E226" s="2" t="inlineStr">
        <is>
          <t>o. Exhaust ducts passing through concealed spaces, unconditioned spaces, or semi-heated spaces exhausting conditioned air.</t>
        </is>
      </c>
      <c r="F226" s="2" t="inlineStr">
        <is>
          <t>Nē</t>
        </is>
      </c>
      <c r="G226" s="2" t="n"/>
    </row>
    <row r="227">
      <c r="A227" s="2" t="inlineStr">
        <is>
          <t>UFGS_23_07_0-P0054-017</t>
        </is>
      </c>
      <c r="B227" s="2" t="inlineStr">
        <is>
          <t>UFGS_23_07_00.pdf</t>
        </is>
      </c>
      <c r="C227" s="2" t="n">
        <v>54</v>
      </c>
      <c r="D227" s="2" t="n">
        <v>17</v>
      </c>
      <c r="E227" s="2" t="inlineStr">
        <is>
          <t>Provide insulation for rectangular ducts that is flexible type where concealed, and rigid type where exposed.</t>
        </is>
      </c>
      <c r="F227" s="2" t="inlineStr">
        <is>
          <t>Nē</t>
        </is>
      </c>
      <c r="G227" s="2" t="n"/>
    </row>
    <row r="228">
      <c r="A228" s="2" t="inlineStr">
        <is>
          <t>UFGS_23_07_0-P0054-018</t>
        </is>
      </c>
      <c r="B228" s="2" t="inlineStr">
        <is>
          <t>UFGS_23_07_00.pdf</t>
        </is>
      </c>
      <c r="C228" s="2" t="n">
        <v>54</v>
      </c>
      <c r="D228" s="2" t="n">
        <v>18</v>
      </c>
      <c r="E228" s="2" t="inlineStr">
        <is>
          <t>Provide insulation on exposed ducts with a white, paint-able, factory-applied Type II jacket, or finish with adhesive finish.</t>
        </is>
      </c>
      <c r="F228" s="2" t="inlineStr">
        <is>
          <t>Nē</t>
        </is>
      </c>
      <c r="G228" s="2" t="n"/>
    </row>
    <row r="229">
      <c r="A229" s="2" t="inlineStr">
        <is>
          <t>UFGS_23_07_0-P0054-019</t>
        </is>
      </c>
      <c r="B229" s="2" t="inlineStr">
        <is>
          <t>UFGS_23_07_00.pdf</t>
        </is>
      </c>
      <c r="C229" s="2" t="n">
        <v>54</v>
      </c>
      <c r="D229" s="2" t="n">
        <v>19</v>
      </c>
      <c r="E229" s="2" t="inlineStr">
        <is>
          <t>Use flexible type insulation for round ducts, with a factory-applied Type II jacket.</t>
        </is>
      </c>
      <c r="F229" s="2" t="inlineStr">
        <is>
          <t>Nē</t>
        </is>
      </c>
      <c r="G229" s="2" t="n"/>
    </row>
    <row r="230">
      <c r="A230" s="2" t="inlineStr">
        <is>
          <t>UFGS_23_07_0-P0054-020</t>
        </is>
      </c>
      <c r="B230" s="2" t="inlineStr">
        <is>
          <t>UFGS_23_07_00.pdf</t>
        </is>
      </c>
      <c r="C230" s="2" t="n">
        <v>54</v>
      </c>
      <c r="D230" s="2" t="n">
        <v>20</v>
      </c>
      <c r="E230" s="2" t="inlineStr">
        <is>
          <t>Provide insulation on concealed duct with a factory-applied Type II jacket.</t>
        </is>
      </c>
      <c r="F230" s="2" t="inlineStr">
        <is>
          <t>Nē</t>
        </is>
      </c>
      <c r="G230" s="2" t="n"/>
    </row>
    <row r="231">
      <c r="A231" s="2" t="inlineStr">
        <is>
          <t>UFGS_23_07_0-P0054-021</t>
        </is>
      </c>
      <c r="B231" s="2" t="inlineStr">
        <is>
          <t>UFGS_23_07_00.pdf</t>
        </is>
      </c>
      <c r="C231" s="2" t="n">
        <v>54</v>
      </c>
      <c r="D231" s="2" t="n">
        <v>21</v>
      </c>
      <c r="E231" s="2" t="inlineStr">
        <is>
          <t>Accomplish adhesive finish where indicated to be used by applying two coats of adhesive with a layer of glass cloth embedded between the coats.</t>
        </is>
      </c>
      <c r="F231" s="2" t="inlineStr">
        <is>
          <t>Nē</t>
        </is>
      </c>
      <c r="G231" s="2" t="n"/>
    </row>
    <row r="232">
      <c r="A232" s="2" t="inlineStr">
        <is>
          <t>UFGS_23_07_0-P0054-022</t>
        </is>
      </c>
      <c r="B232" s="2" t="inlineStr">
        <is>
          <t>UFGS_23_07_00.pdf</t>
        </is>
      </c>
      <c r="C232" s="2" t="n">
        <v>54</v>
      </c>
      <c r="D232" s="2" t="n">
        <v>22</v>
      </c>
      <c r="E232" s="2" t="inlineStr">
        <is>
          <t>Ensure total dry film thickness is approximately 2.0 mm 1/16 inch.</t>
        </is>
      </c>
      <c r="F232" s="2" t="inlineStr">
        <is>
          <t>Nē</t>
        </is>
      </c>
      <c r="G232" s="2" t="n"/>
    </row>
    <row r="233">
      <c r="A233" s="2" t="inlineStr">
        <is>
          <t>UFGS_23_07_0-P0054-023</t>
        </is>
      </c>
      <c r="B233" s="2" t="inlineStr">
        <is>
          <t>UFGS_23_07_00.pdf</t>
        </is>
      </c>
      <c r="C233" s="2" t="n">
        <v>54</v>
      </c>
      <c r="D233" s="2" t="n">
        <v>23</v>
      </c>
      <c r="E233" s="2" t="inlineStr">
        <is>
          <t>Continue duct insulation through sleeves and prepare openings.</t>
        </is>
      </c>
      <c r="F233" s="2" t="inlineStr">
        <is>
          <t>Nē</t>
        </is>
      </c>
      <c r="G233" s="2" t="n"/>
    </row>
    <row r="234">
      <c r="A234" s="2" t="inlineStr">
        <is>
          <t>UFGS_23_07_0-P0054-024</t>
        </is>
      </c>
      <c r="B234" s="2" t="inlineStr">
        <is>
          <t>UFGS_23_07_00.pdf</t>
        </is>
      </c>
      <c r="C234" s="2" t="n">
        <v>54</v>
      </c>
      <c r="D234" s="2" t="n">
        <v>24</v>
      </c>
      <c r="E234" s="2" t="inlineStr">
        <is>
          <t>Terminate duct insulation at fire dampers and flexible connections.</t>
        </is>
      </c>
      <c r="F234" s="2" t="inlineStr">
        <is>
          <t>Nē</t>
        </is>
      </c>
      <c r="G234" s="2" t="n"/>
    </row>
    <row r="235">
      <c r="A235" s="2" t="inlineStr">
        <is>
          <t>UFGS_23_07_0-P0054-025</t>
        </is>
      </c>
      <c r="B235" s="2" t="inlineStr">
        <is>
          <t>UFGS_23_07_00.pdf</t>
        </is>
      </c>
      <c r="C235" s="2" t="n">
        <v>54</v>
      </c>
      <c r="D235" s="2" t="n">
        <v>25</v>
      </c>
      <c r="E235" s="2" t="inlineStr">
        <is>
          <t>3.3.3.1 Installation on Concealed Duct</t>
        </is>
      </c>
      <c r="F235" s="2" t="inlineStr">
        <is>
          <t>Nē</t>
        </is>
      </c>
      <c r="G235" s="2" t="n"/>
    </row>
    <row r="236">
      <c r="A236" s="2" t="inlineStr">
        <is>
          <t>UFGS_23_07_0-P0054-026</t>
        </is>
      </c>
      <c r="B236" s="2" t="inlineStr">
        <is>
          <t>UFGS_23_07_00.pdf</t>
        </is>
      </c>
      <c r="C236" s="2" t="n">
        <v>54</v>
      </c>
      <c r="D236" s="2" t="n">
        <v>26</v>
      </c>
      <c r="E236" s="2" t="inlineStr">
        <is>
          <t>a. For rectangular, oval and round ducts, attach insulation by applying adhesive around the entire perimeter of the duct in 150 mm 6 inch wide strips on 300 mm 12 inch centers.</t>
        </is>
      </c>
      <c r="F236" s="2" t="inlineStr">
        <is>
          <t>Nē</t>
        </is>
      </c>
      <c r="G236" s="2" t="n"/>
    </row>
    <row r="237">
      <c r="A237" s="2" t="inlineStr">
        <is>
          <t>UFGS_23_07_0-P0054-027</t>
        </is>
      </c>
      <c r="B237" s="2" t="inlineStr">
        <is>
          <t>UFGS_23_07_00.pdf</t>
        </is>
      </c>
      <c r="C237" s="2" t="n">
        <v>54</v>
      </c>
      <c r="D237" s="2" t="n">
        <v>27</v>
      </c>
      <c r="E237" s="2" t="inlineStr">
        <is>
          <t>b. For rectangular and oval ducts 600 mm 24 inches and larger, secure insulation to the bottom of ducts using mechanical fasteners.</t>
        </is>
      </c>
      <c r="F237" s="2" t="inlineStr">
        <is>
          <t>Nē</t>
        </is>
      </c>
      <c r="G237" s="2" t="n"/>
    </row>
    <row r="238">
      <c r="A238" s="2" t="inlineStr">
        <is>
          <t>UFGS_23_07_0-P0054-028</t>
        </is>
      </c>
      <c r="B238" s="2" t="inlineStr">
        <is>
          <t>UFGS_23_07_00.pdf</t>
        </is>
      </c>
      <c r="C238" s="2" t="n">
        <v>54</v>
      </c>
      <c r="D238" s="2" t="n">
        <v>28</v>
      </c>
      <c r="E238" s="2" t="inlineStr">
        <is>
          <t>Space fasteners on 450 mm 18 inch centers and no more than 450 mm 18 inches from duct corner.</t>
        </is>
      </c>
      <c r="F238" s="2" t="inlineStr">
        <is>
          <t>Nē</t>
        </is>
      </c>
      <c r="G238" s="2" t="n"/>
    </row>
    <row r="239">
      <c r="A239" s="2" t="inlineStr">
        <is>
          <t>UFGS_23_07_0-P0054-029</t>
        </is>
      </c>
      <c r="B239" s="2" t="inlineStr">
        <is>
          <t>UFGS_23_07_00.pdf</t>
        </is>
      </c>
      <c r="C239" s="2" t="n">
        <v>54</v>
      </c>
      <c r="D239" s="2" t="n">
        <v>29</v>
      </c>
      <c r="E239" s="2" t="inlineStr">
        <is>
          <t>c. For rectangular, oval and round ducts, provide mechanical fasteners on sides of duct risers for all duct sizes.</t>
        </is>
      </c>
      <c r="F239" s="2" t="inlineStr">
        <is>
          <t>Nē</t>
        </is>
      </c>
      <c r="G239" s="2" t="n"/>
    </row>
    <row r="240">
      <c r="A240" s="2" t="inlineStr">
        <is>
          <t>UFGS_23_07_0-P0054-030</t>
        </is>
      </c>
      <c r="B240" s="2" t="inlineStr">
        <is>
          <t>UFGS_23_07_00.pdf</t>
        </is>
      </c>
      <c r="C240" s="2" t="n">
        <v>54</v>
      </c>
      <c r="D240" s="2" t="n">
        <v>30</v>
      </c>
      <c r="E240" s="2" t="inlineStr">
        <is>
          <t>Space fasteners on 450 mm 18 inch centers and no more than 450 mm 18 inches from duct corners.</t>
        </is>
      </c>
      <c r="F240" s="2" t="inlineStr">
        <is>
          <t>Nē</t>
        </is>
      </c>
      <c r="G240" s="2" t="n"/>
    </row>
    <row r="241">
      <c r="A241" s="2" t="inlineStr">
        <is>
          <t>UFGS_23_07_0-P0054-031</t>
        </is>
      </c>
      <c r="B241" s="2" t="inlineStr">
        <is>
          <t>UFGS_23_07_00.pdf</t>
        </is>
      </c>
      <c r="C241" s="2" t="n">
        <v>54</v>
      </c>
      <c r="D241" s="2" t="n">
        <v>31</v>
      </c>
      <c r="E241" s="2" t="inlineStr">
        <is>
          <t>SECTION 23 07 00 Page 54</t>
        </is>
      </c>
      <c r="F241" s="2" t="inlineStr">
        <is>
          <t>Nē</t>
        </is>
      </c>
      <c r="G241" s="2" t="n"/>
    </row>
    <row r="242">
      <c r="A242" s="2" t="inlineStr">
        <is>
          <t>UFGS_23_07_0-P0058-001</t>
        </is>
      </c>
      <c r="B242" s="2" t="inlineStr">
        <is>
          <t>UFGS_23_07_00.pdf</t>
        </is>
      </c>
      <c r="C242" s="2" t="n">
        <v>58</v>
      </c>
      <c r="D242" s="2" t="n">
        <v>1</v>
      </c>
      <c r="E242" s="2" t="inlineStr">
        <is>
          <t>k. Expansion and air separation tanks.</t>
        </is>
      </c>
      <c r="F242" s="2" t="inlineStr">
        <is>
          <t>Nē</t>
        </is>
      </c>
      <c r="G242" s="2" t="n"/>
    </row>
    <row r="243">
      <c r="A243" s="2" t="inlineStr">
        <is>
          <t>UFGS_23_07_0-P0058-002</t>
        </is>
      </c>
      <c r="B243" s="2" t="inlineStr">
        <is>
          <t>UFGS_23_07_00.pdf</t>
        </is>
      </c>
      <c r="C243" s="2" t="n">
        <v>58</v>
      </c>
      <c r="D243" s="2" t="n">
        <v>2</v>
      </c>
      <c r="E243" s="2" t="inlineStr">
        <is>
          <t>3.4.2.1 Insulation Type</t>
        </is>
      </c>
      <c r="F243" s="2" t="inlineStr">
        <is>
          <t>Nē</t>
        </is>
      </c>
      <c r="G243" s="2" t="n"/>
    </row>
    <row r="244">
      <c r="A244" s="2" t="inlineStr">
        <is>
          <t>UFGS_23_07_0-P0058-003</t>
        </is>
      </c>
      <c r="B244" s="2" t="inlineStr">
        <is>
          <t>UFGS_23_07_00.pdf</t>
        </is>
      </c>
      <c r="C244" s="2" t="n">
        <v>58</v>
      </c>
      <c r="D244" s="2" t="n">
        <v>3</v>
      </c>
      <c r="E244" s="2" t="inlineStr">
        <is>
          <t>NOTE: Additional data on insulation thickness may be found in manufacturers catalogs and computer sizing programs and from individual calculations.</t>
        </is>
      </c>
      <c r="F244" s="2" t="inlineStr">
        <is>
          <t>Nē</t>
        </is>
      </c>
      <c r="G244" s="2" t="n"/>
    </row>
    <row r="245">
      <c r="A245" s="2" t="inlineStr">
        <is>
          <t>UFGS_23_07_0-P0058-004</t>
        </is>
      </c>
      <c r="B245" s="2" t="inlineStr">
        <is>
          <t>UFGS_23_07_00.pdf</t>
        </is>
      </c>
      <c r="C245" s="2" t="n">
        <v>58</v>
      </c>
      <c r="D245" s="2" t="n">
        <v>4</v>
      </c>
      <c r="E245" s="2" t="inlineStr">
        <is>
          <t>Care should be taken in the selection of an insulating material for high temperature equipment.</t>
        </is>
      </c>
      <c r="F245" s="2" t="inlineStr">
        <is>
          <t>Nē</t>
        </is>
      </c>
      <c r="G245" s="2" t="n"/>
    </row>
    <row r="246">
      <c r="A246" s="2" t="inlineStr">
        <is>
          <t>UFGS_23_07_0-P0058-005</t>
        </is>
      </c>
      <c r="B246" s="2" t="inlineStr">
        <is>
          <t>UFGS_23_07_00.pdf</t>
        </is>
      </c>
      <c r="C246" s="2" t="n">
        <v>58</v>
      </c>
      <c r="D246" s="2" t="n">
        <v>5</v>
      </c>
      <c r="E246" s="2" t="inlineStr">
        <is>
          <t>If the equipment rises to high operating temperature in a short period of time, thermal stresses may occur in rigid insulations that may lead to cracking and subsequent deterioration of the insulation.</t>
        </is>
      </c>
      <c r="F246" s="2" t="inlineStr">
        <is>
          <t>Nē</t>
        </is>
      </c>
      <c r="G246" s="2" t="n"/>
    </row>
    <row r="247">
      <c r="A247" s="2" t="inlineStr">
        <is>
          <t>UFGS_23_07_0-P0058-006</t>
        </is>
      </c>
      <c r="B247" s="2" t="inlineStr">
        <is>
          <t>UFGS_23_07_00.pdf</t>
        </is>
      </c>
      <c r="C247" s="2" t="n">
        <v>58</v>
      </c>
      <c r="D247" s="2" t="n">
        <v>6</v>
      </c>
      <c r="E247" s="2" t="inlineStr">
        <is>
          <t>Provide insulation suitable for the temperature encountered.</t>
        </is>
      </c>
      <c r="F247" s="2" t="inlineStr">
        <is>
          <t>Nē</t>
        </is>
      </c>
      <c r="G247" s="2" t="n"/>
    </row>
    <row r="248">
      <c r="A248" s="2" t="inlineStr">
        <is>
          <t>UFGS_23_07_0-P0058-007</t>
        </is>
      </c>
      <c r="B248" s="2" t="inlineStr">
        <is>
          <t>UFGS_23_07_00.pdf</t>
        </is>
      </c>
      <c r="C248" s="2" t="n">
        <v>58</v>
      </c>
      <c r="D248" s="2" t="n">
        <v>7</v>
      </c>
      <c r="E248" s="2" t="inlineStr">
        <is>
          <t>Provide material and thicknesses as shown in Table 5:</t>
        </is>
      </c>
      <c r="F248" s="2" t="inlineStr">
        <is>
          <t>Nē</t>
        </is>
      </c>
      <c r="G248" s="2" t="n"/>
    </row>
    <row r="249">
      <c r="A249" s="2" t="inlineStr">
        <is>
          <t>UFGS_23_07_0-P0058-008</t>
        </is>
      </c>
      <c r="B249" s="2" t="inlineStr">
        <is>
          <t>UFGS_23_07_00.pdf</t>
        </is>
      </c>
      <c r="C249" s="2" t="n">
        <v>58</v>
      </c>
      <c r="D249" s="2" t="n">
        <v>8</v>
      </c>
      <c r="E249" s="2" t="inlineStr">
        <is>
          <t>TABLE 5</t>
        </is>
      </c>
      <c r="F249" s="2" t="inlineStr">
        <is>
          <t>Nē</t>
        </is>
      </c>
      <c r="G249" s="2" t="n"/>
    </row>
    <row r="250">
      <c r="A250" s="2" t="inlineStr">
        <is>
          <t>UFGS_23_07_0-P0058-009</t>
        </is>
      </c>
      <c r="B250" s="2" t="inlineStr">
        <is>
          <t>UFGS_23_07_00.pdf</t>
        </is>
      </c>
      <c r="C250" s="2" t="n">
        <v>58</v>
      </c>
      <c r="D250" s="2" t="n">
        <v>9</v>
      </c>
      <c r="E250" s="2" t="inlineStr">
        <is>
          <t>Insulation Thickness for Cold Equipment (mm) (inches)</t>
        </is>
      </c>
      <c r="F250" s="2" t="inlineStr">
        <is>
          <t>Nē</t>
        </is>
      </c>
      <c r="G250" s="2" t="n"/>
    </row>
    <row r="251">
      <c r="A251" s="2" t="inlineStr">
        <is>
          <t>UFGS_23_07_0-P0058-010</t>
        </is>
      </c>
      <c r="B251" s="2" t="inlineStr">
        <is>
          <t>UFGS_23_07_00.pdf</t>
        </is>
      </c>
      <c r="C251" s="2" t="n">
        <v>58</v>
      </c>
      <c r="D251" s="2" t="n">
        <v>10</v>
      </c>
      <c r="E251" s="2" t="inlineStr">
        <is>
          <t>Equipment handling media at indicated temperature</t>
        </is>
      </c>
      <c r="F251" s="2" t="inlineStr">
        <is>
          <t>Nē</t>
        </is>
      </c>
      <c r="G251" s="2" t="n"/>
    </row>
    <row r="252">
      <c r="A252" s="2" t="inlineStr">
        <is>
          <t>UFGS_23_07_0-P0058-011</t>
        </is>
      </c>
      <c r="B252" s="2" t="inlineStr">
        <is>
          <t>UFGS_23_07_00.pdf</t>
        </is>
      </c>
      <c r="C252" s="2" t="n">
        <v>58</v>
      </c>
      <c r="D252" s="2" t="n">
        <v>11</v>
      </c>
      <c r="E252" s="2" t="inlineStr">
        <is>
          <t>Material Thickness (mm) (inches) 2 to 16 degrees C35 to 60 degrees F</t>
        </is>
      </c>
      <c r="F252" s="2" t="inlineStr">
        <is>
          <t>Nē</t>
        </is>
      </c>
      <c r="G252" s="2" t="n"/>
    </row>
    <row r="253">
      <c r="A253" s="2" t="inlineStr">
        <is>
          <t>UFGS_23_07_0-P0058-012</t>
        </is>
      </c>
      <c r="B253" s="2" t="inlineStr">
        <is>
          <t>UFGS_23_07_00.pdf</t>
        </is>
      </c>
      <c r="C253" s="2" t="n">
        <v>58</v>
      </c>
      <c r="D253" s="2" t="n">
        <v>12</v>
      </c>
      <c r="E253" s="2" t="inlineStr">
        <is>
          <t>Cellular Glass 401.5</t>
        </is>
      </c>
      <c r="F253" s="2" t="inlineStr">
        <is>
          <t>Nē</t>
        </is>
      </c>
      <c r="G253" s="2" t="n"/>
    </row>
    <row r="254">
      <c r="A254" s="2" t="inlineStr">
        <is>
          <t>UFGS_23_07_0-P0058-013</t>
        </is>
      </c>
      <c r="B254" s="2" t="inlineStr">
        <is>
          <t>UFGS_23_07_00.pdf</t>
        </is>
      </c>
      <c r="C254" s="2" t="n">
        <v>58</v>
      </c>
      <c r="D254" s="2" t="n">
        <v>13</v>
      </c>
      <c r="E254" s="2" t="inlineStr">
        <is>
          <t>Flexible Elastomeric Cellular 251</t>
        </is>
      </c>
      <c r="F254" s="2" t="inlineStr">
        <is>
          <t>Nē</t>
        </is>
      </c>
      <c r="G254" s="2" t="n"/>
    </row>
    <row r="255">
      <c r="A255" s="2" t="inlineStr">
        <is>
          <t>UFGS_23_07_0-P0058-014</t>
        </is>
      </c>
      <c r="B255" s="2" t="inlineStr">
        <is>
          <t>UFGS_23_07_00.pdf</t>
        </is>
      </c>
      <c r="C255" s="2" t="n">
        <v>58</v>
      </c>
      <c r="D255" s="2" t="n">
        <v>14</v>
      </c>
      <c r="E255" s="2" t="inlineStr">
        <is>
          <t>Minus 18 to 1 degree C1 to 34 degrees F</t>
        </is>
      </c>
      <c r="F255" s="2" t="inlineStr">
        <is>
          <t>Nē</t>
        </is>
      </c>
      <c r="G255" s="2" t="n"/>
    </row>
    <row r="256">
      <c r="A256" s="2" t="inlineStr">
        <is>
          <t>UFGS_23_07_0-P0058-015</t>
        </is>
      </c>
      <c r="B256" s="2" t="inlineStr">
        <is>
          <t>UFGS_23_07_00.pdf</t>
        </is>
      </c>
      <c r="C256" s="2" t="n">
        <v>58</v>
      </c>
      <c r="D256" s="2" t="n">
        <v>15</v>
      </c>
      <c r="E256" s="2" t="inlineStr">
        <is>
          <t>Cellular Glass 753</t>
        </is>
      </c>
      <c r="F256" s="2" t="inlineStr">
        <is>
          <t>Nē</t>
        </is>
      </c>
      <c r="G256" s="2" t="n"/>
    </row>
    <row r="257">
      <c r="A257" s="2" t="inlineStr">
        <is>
          <t>UFGS_23_07_0-P0058-016</t>
        </is>
      </c>
      <c r="B257" s="2" t="inlineStr">
        <is>
          <t>UFGS_23_07_00.pdf</t>
        </is>
      </c>
      <c r="C257" s="2" t="n">
        <v>58</v>
      </c>
      <c r="D257" s="2" t="n">
        <v>16</v>
      </c>
      <c r="E257" s="2" t="inlineStr">
        <is>
          <t>Flexible Elastomeric Cellular 401.5</t>
        </is>
      </c>
      <c r="F257" s="2" t="inlineStr">
        <is>
          <t>Nē</t>
        </is>
      </c>
      <c r="G257" s="2" t="n"/>
    </row>
    <row r="258">
      <c r="A258" s="2" t="inlineStr">
        <is>
          <t>UFGS_23_07_0-P0058-017</t>
        </is>
      </c>
      <c r="B258" s="2" t="inlineStr">
        <is>
          <t>UFGS_23_07_00.pdf</t>
        </is>
      </c>
      <c r="C258" s="2" t="n">
        <v>58</v>
      </c>
      <c r="D258" s="2" t="n">
        <v>17</v>
      </c>
      <c r="E258" s="2" t="inlineStr">
        <is>
          <t>Minus 34 to minus 17 degrees CMinus 30 to 0 degrees F</t>
        </is>
      </c>
      <c r="F258" s="2" t="inlineStr">
        <is>
          <t>Nē</t>
        </is>
      </c>
      <c r="G258" s="2" t="n"/>
    </row>
    <row r="259">
      <c r="A259" s="2" t="inlineStr">
        <is>
          <t>UFGS_23_07_0-P0058-018</t>
        </is>
      </c>
      <c r="B259" s="2" t="inlineStr">
        <is>
          <t>UFGS_23_07_00.pdf</t>
        </is>
      </c>
      <c r="C259" s="2" t="n">
        <v>58</v>
      </c>
      <c r="D259" s="2" t="n">
        <v>18</v>
      </c>
      <c r="E259" s="2" t="inlineStr">
        <is>
          <t>Cellular Glass 903.5</t>
        </is>
      </c>
      <c r="F259" s="2" t="inlineStr">
        <is>
          <t>Nē</t>
        </is>
      </c>
      <c r="G259" s="2" t="n"/>
    </row>
    <row r="260">
      <c r="A260" s="2" t="inlineStr">
        <is>
          <t>UFGS_23_07_0-P0058-019</t>
        </is>
      </c>
      <c r="B260" s="2" t="inlineStr">
        <is>
          <t>UFGS_23_07_00.pdf</t>
        </is>
      </c>
      <c r="C260" s="2" t="n">
        <v>58</v>
      </c>
      <c r="D260" s="2" t="n">
        <v>19</v>
      </c>
      <c r="E260" s="2" t="inlineStr">
        <is>
          <t>Flexible Elastomeric Cellular 451.75</t>
        </is>
      </c>
      <c r="F260" s="2" t="inlineStr">
        <is>
          <t>Nē</t>
        </is>
      </c>
      <c r="G260" s="2" t="n"/>
    </row>
    <row r="261">
      <c r="A261" s="2" t="inlineStr">
        <is>
          <t>UFGS_23_07_0-P0058-020</t>
        </is>
      </c>
      <c r="B261" s="2" t="inlineStr">
        <is>
          <t>UFGS_23_07_00.pdf</t>
        </is>
      </c>
      <c r="C261" s="2" t="n">
        <v>58</v>
      </c>
      <c r="D261" s="2" t="n">
        <v>20</v>
      </c>
      <c r="E261" s="2" t="inlineStr">
        <is>
          <t>3.4.2.2 Pump Insulation</t>
        </is>
      </c>
      <c r="F261" s="2" t="inlineStr">
        <is>
          <t>Nē</t>
        </is>
      </c>
      <c r="G261" s="2" t="n"/>
    </row>
    <row r="262">
      <c r="A262" s="2" t="inlineStr">
        <is>
          <t>UFGS_23_07_0-P0058-021</t>
        </is>
      </c>
      <c r="B262" s="2" t="inlineStr">
        <is>
          <t>UFGS_23_07_00.pdf</t>
        </is>
      </c>
      <c r="C262" s="2" t="n">
        <v>58</v>
      </c>
      <c r="D262" s="2" t="n">
        <v>21</v>
      </c>
      <c r="E262" s="2" t="inlineStr">
        <is>
          <t>a. Insulate pumps by forming a box around the pump housing.</t>
        </is>
      </c>
      <c r="F262" s="2" t="inlineStr">
        <is>
          <t>Nē</t>
        </is>
      </c>
      <c r="G262" s="2" t="n"/>
    </row>
    <row r="263">
      <c r="A263" s="2" t="inlineStr">
        <is>
          <t>UFGS_23_07_0-P0058-022</t>
        </is>
      </c>
      <c r="B263" s="2" t="inlineStr">
        <is>
          <t>UFGS_23_07_00.pdf</t>
        </is>
      </c>
      <c r="C263" s="2" t="n">
        <v>58</v>
      </c>
      <c r="D263" s="2" t="n">
        <v>22</v>
      </c>
      <c r="E263" s="2" t="inlineStr">
        <is>
          <t>Construct the box by forming the bottom and sides using joints that do not leave raw ends of insulation exposed.</t>
        </is>
      </c>
      <c r="F263" s="2" t="inlineStr">
        <is>
          <t>Nē</t>
        </is>
      </c>
      <c r="G263" s="2" t="n"/>
    </row>
    <row r="264">
      <c r="A264" s="2" t="inlineStr">
        <is>
          <t>UFGS_23_07_0-P0058-023</t>
        </is>
      </c>
      <c r="B264" s="2" t="inlineStr">
        <is>
          <t>UFGS_23_07_00.pdf</t>
        </is>
      </c>
      <c r="C264" s="2" t="n">
        <v>58</v>
      </c>
      <c r="D264" s="2" t="n">
        <v>23</v>
      </c>
      <c r="E264" s="2" t="inlineStr">
        <is>
          <t>Join joints between sides and between sides and bottom by adhesive with lap strips for rigid mineral fiber and contact adhesive for flexible elastomeric cellular insulation.</t>
        </is>
      </c>
      <c r="F264" s="2" t="inlineStr">
        <is>
          <t>Nē</t>
        </is>
      </c>
      <c r="G264" s="2" t="n"/>
    </row>
    <row r="265">
      <c r="A265" s="2" t="inlineStr">
        <is>
          <t>UFGS_23_07_0-P0058-024</t>
        </is>
      </c>
      <c r="B265" s="2" t="inlineStr">
        <is>
          <t>UFGS_23_07_00.pdf</t>
        </is>
      </c>
      <c r="C265" s="2" t="n">
        <v>58</v>
      </c>
      <c r="D265" s="2" t="n">
        <v>24</v>
      </c>
      <c r="E265" s="2" t="inlineStr">
        <is>
          <t>Ensure box conforms to the requirements of MICA Insulation Stds plate No.</t>
        </is>
      </c>
      <c r="F265" s="2" t="inlineStr">
        <is>
          <t>Nē</t>
        </is>
      </c>
      <c r="G265" s="2" t="n"/>
    </row>
    <row r="266">
      <c r="A266" s="2" t="inlineStr">
        <is>
          <t>UFGS_23_07_0-P0058-025</t>
        </is>
      </c>
      <c r="B266" s="2" t="inlineStr">
        <is>
          <t>UFGS_23_07_00.pdf</t>
        </is>
      </c>
      <c r="C266" s="2" t="n">
        <v>58</v>
      </c>
      <c r="D266" s="2" t="n">
        <v>25</v>
      </c>
      <c r="E266" s="2" t="inlineStr">
        <is>
          <t>49 when using flexible elastomeric cellular insulation.</t>
        </is>
      </c>
      <c r="F266" s="2" t="inlineStr">
        <is>
          <t>Nē</t>
        </is>
      </c>
      <c r="G266" s="2" t="n"/>
    </row>
    <row r="267">
      <c r="A267" s="2" t="inlineStr">
        <is>
          <t>UFGS_23_07_0-P0058-026</t>
        </is>
      </c>
      <c r="B267" s="2" t="inlineStr">
        <is>
          <t>UFGS_23_07_00.pdf</t>
        </is>
      </c>
      <c r="C267" s="2" t="n">
        <v>58</v>
      </c>
      <c r="D267" s="2" t="n">
        <v>26</v>
      </c>
      <c r="E267" s="2" t="inlineStr">
        <is>
          <t>Ensure joints between top cover and sides fit tightly forming a female</t>
        </is>
      </c>
      <c r="F267" s="2" t="inlineStr">
        <is>
          <t>Nē</t>
        </is>
      </c>
      <c r="G267" s="2" t="n"/>
    </row>
    <row r="268">
      <c r="A268" s="2" t="inlineStr">
        <is>
          <t>UFGS_23_07_0-P0058-027</t>
        </is>
      </c>
      <c r="B268" s="2" t="inlineStr">
        <is>
          <t>UFGS_23_07_00.pdf</t>
        </is>
      </c>
      <c r="C268" s="2" t="n">
        <v>58</v>
      </c>
      <c r="D268" s="2" t="n">
        <v>27</v>
      </c>
      <c r="E268" s="2" t="inlineStr">
        <is>
          <t>SECTION 23 07 00 Page 58</t>
        </is>
      </c>
      <c r="F268" s="2" t="inlineStr">
        <is>
          <t>Nē</t>
        </is>
      </c>
      <c r="G268" s="2" t="n"/>
    </row>
    <row r="269">
      <c r="A269" s="2" t="inlineStr">
        <is>
          <t>UFGS_23_07_0-P0059-001</t>
        </is>
      </c>
      <c r="B269" s="2" t="inlineStr">
        <is>
          <t>UFGS_23_07_00.pdf</t>
        </is>
      </c>
      <c r="C269" s="2" t="n">
        <v>59</v>
      </c>
      <c r="D269" s="2" t="n">
        <v>1</v>
      </c>
      <c r="E269" s="2" t="inlineStr">
        <is>
          <t>shiplap joint on the side pieces and a male joint on the top cover, thus making the top cover removable.</t>
        </is>
      </c>
      <c r="F269" s="2" t="inlineStr">
        <is>
          <t>Nē</t>
        </is>
      </c>
      <c r="G269" s="2" t="n"/>
    </row>
    <row r="270">
      <c r="A270" s="2" t="inlineStr">
        <is>
          <t>UFGS_23_07_0-P0059-002</t>
        </is>
      </c>
      <c r="B270" s="2" t="inlineStr">
        <is>
          <t>UFGS_23_07_00.pdf</t>
        </is>
      </c>
      <c r="C270" s="2" t="n">
        <v>59</v>
      </c>
      <c r="D270" s="2" t="n">
        <v>2</v>
      </c>
      <c r="E270" s="2" t="inlineStr">
        <is>
          <t>b. Protect exposed insulation corners with corner angles.</t>
        </is>
      </c>
      <c r="F270" s="2" t="inlineStr">
        <is>
          <t>Nē</t>
        </is>
      </c>
      <c r="G270" s="2" t="n"/>
    </row>
    <row r="271">
      <c r="A271" s="2" t="inlineStr">
        <is>
          <t>UFGS_23_07_0-P0059-003</t>
        </is>
      </c>
      <c r="B271" s="2" t="inlineStr">
        <is>
          <t>UFGS_23_07_00.pdf</t>
        </is>
      </c>
      <c r="C271" s="2" t="n">
        <v>59</v>
      </c>
      <c r="D271" s="2" t="n">
        <v>3</v>
      </c>
      <c r="E271" s="2" t="inlineStr">
        <is>
          <t>c. Upon completion of installation of the insulation, including removable sections, apply two coats of vapor retarder coating with a layer of glass cloth embedded between the coats.</t>
        </is>
      </c>
      <c r="F271" s="2" t="inlineStr">
        <is>
          <t>Nē</t>
        </is>
      </c>
      <c r="G271" s="2" t="n"/>
    </row>
    <row r="272">
      <c r="A272" s="2" t="inlineStr">
        <is>
          <t>UFGS_23_07_0-P0059-004</t>
        </is>
      </c>
      <c r="B272" s="2" t="inlineStr">
        <is>
          <t>UFGS_23_07_00.pdf</t>
        </is>
      </c>
      <c r="C272" s="2" t="n">
        <v>59</v>
      </c>
      <c r="D272" s="2" t="n">
        <v>4</v>
      </c>
      <c r="E272" s="2" t="inlineStr">
        <is>
          <t>The total dry thickness of the finish must be 2 mm 1/16 inch.</t>
        </is>
      </c>
      <c r="F272" s="2" t="inlineStr">
        <is>
          <t>Nē</t>
        </is>
      </c>
      <c r="G272" s="2" t="n"/>
    </row>
    <row r="273">
      <c r="A273" s="2" t="inlineStr">
        <is>
          <t>UFGS_23_07_0-P0059-005</t>
        </is>
      </c>
      <c r="B273" s="2" t="inlineStr">
        <is>
          <t>UFGS_23_07_00.pdf</t>
        </is>
      </c>
      <c r="C273" s="2" t="n">
        <v>59</v>
      </c>
      <c r="D273" s="2" t="n">
        <v>5</v>
      </c>
      <c r="E273" s="2" t="inlineStr">
        <is>
          <t>Provide a parting line between the box and the removable sections allowing the removable sections to be removed without disturbing the insulation coating.</t>
        </is>
      </c>
      <c r="F273" s="2" t="inlineStr">
        <is>
          <t>Nē</t>
        </is>
      </c>
      <c r="G273" s="2" t="n"/>
    </row>
    <row r="274">
      <c r="A274" s="2" t="inlineStr">
        <is>
          <t>UFGS_23_07_0-P0059-006</t>
        </is>
      </c>
      <c r="B274" s="2" t="inlineStr">
        <is>
          <t>UFGS_23_07_00.pdf</t>
        </is>
      </c>
      <c r="C274" s="2" t="n">
        <v>59</v>
      </c>
      <c r="D274" s="2" t="n">
        <v>6</v>
      </c>
      <c r="E274" s="2" t="inlineStr">
        <is>
          <t>Apply flashing sealant to parting line, between equipment and removable section insulation, and at all penetrations.</t>
        </is>
      </c>
      <c r="F274" s="2" t="inlineStr">
        <is>
          <t>Nē</t>
        </is>
      </c>
      <c r="G274" s="2" t="n"/>
    </row>
    <row r="275">
      <c r="A275" s="2" t="inlineStr">
        <is>
          <t>UFGS_23_07_0-P0059-007</t>
        </is>
      </c>
      <c r="B275" s="2" t="inlineStr">
        <is>
          <t>UFGS_23_07_00.pdf</t>
        </is>
      </c>
      <c r="C275" s="2" t="n">
        <v>59</v>
      </c>
      <c r="D275" s="2" t="n">
        <v>7</v>
      </c>
      <c r="E275" s="2" t="inlineStr">
        <is>
          <t>3.4.2.3 Other Equipment</t>
        </is>
      </c>
      <c r="F275" s="2" t="inlineStr">
        <is>
          <t>Nē</t>
        </is>
      </c>
      <c r="G275" s="2" t="n"/>
    </row>
    <row r="276">
      <c r="A276" s="2" t="inlineStr">
        <is>
          <t>UFGS_23_07_0-P0059-008</t>
        </is>
      </c>
      <c r="B276" s="2" t="inlineStr">
        <is>
          <t>UFGS_23_07_00.pdf</t>
        </is>
      </c>
      <c r="C276" s="2" t="n">
        <v>59</v>
      </c>
      <c r="D276" s="2" t="n">
        <v>8</v>
      </c>
      <c r="E276" s="2" t="inlineStr">
        <is>
          <t>a. Form or fabricate insulation to fit the equipment.</t>
        </is>
      </c>
      <c r="F276" s="2" t="inlineStr">
        <is>
          <t>Nē</t>
        </is>
      </c>
      <c r="G276" s="2" t="n"/>
    </row>
    <row r="277">
      <c r="A277" s="2" t="inlineStr">
        <is>
          <t>UFGS_23_07_0-P0059-009</t>
        </is>
      </c>
      <c r="B277" s="2" t="inlineStr">
        <is>
          <t>UFGS_23_07_00.pdf</t>
        </is>
      </c>
      <c r="C277" s="2" t="n">
        <v>59</v>
      </c>
      <c r="D277" s="2" t="n">
        <v>9</v>
      </c>
      <c r="E277" s="2" t="inlineStr">
        <is>
          <t>To ensure a tight fit on round equipment, bevel edges and tightly butt and stagger joints.</t>
        </is>
      </c>
      <c r="F277" s="2" t="inlineStr">
        <is>
          <t>Nē</t>
        </is>
      </c>
      <c r="G277" s="2" t="n"/>
    </row>
    <row r="278">
      <c r="A278" s="2" t="inlineStr">
        <is>
          <t>UFGS_23_07_0-P0059-010</t>
        </is>
      </c>
      <c r="B278" s="2" t="inlineStr">
        <is>
          <t>UFGS_23_07_00.pdf</t>
        </is>
      </c>
      <c r="C278" s="2" t="n">
        <v>59</v>
      </c>
      <c r="D278" s="2" t="n">
        <v>10</v>
      </c>
      <c r="E278" s="2" t="inlineStr">
        <is>
          <t>b. Secure insulation in place with bands or wires at intervals as recommended by the manufacturer but no more than 300 mm 12 inch centers except adhere flexible elastomeric cellular with contact adhesive.</t>
        </is>
      </c>
      <c r="F278" s="2" t="inlineStr">
        <is>
          <t>Nē</t>
        </is>
      </c>
      <c r="G278" s="2" t="n"/>
    </row>
    <row r="279">
      <c r="A279" s="2" t="inlineStr">
        <is>
          <t>UFGS_23_07_0-P0059-011</t>
        </is>
      </c>
      <c r="B279" s="2" t="inlineStr">
        <is>
          <t>UFGS_23_07_00.pdf</t>
        </is>
      </c>
      <c r="C279" s="2" t="n">
        <v>59</v>
      </c>
      <c r="D279" s="2" t="n">
        <v>11</v>
      </c>
      <c r="E279" s="2" t="inlineStr">
        <is>
          <t>Protect insulation corners under wires and bands with suitable corner angles.</t>
        </is>
      </c>
      <c r="F279" s="2" t="inlineStr">
        <is>
          <t>Nē</t>
        </is>
      </c>
      <c r="G279" s="2" t="n"/>
    </row>
    <row r="280">
      <c r="A280" s="2" t="inlineStr">
        <is>
          <t>UFGS_23_07_0-P0059-012</t>
        </is>
      </c>
      <c r="B280" s="2" t="inlineStr">
        <is>
          <t>UFGS_23_07_00.pdf</t>
        </is>
      </c>
      <c r="C280" s="2" t="n">
        <v>59</v>
      </c>
      <c r="D280" s="2" t="n">
        <v>12</v>
      </c>
      <c r="E280" s="2" t="inlineStr">
        <is>
          <t>c. Install cellular glass in accordance with manufacturer's instructions.</t>
        </is>
      </c>
      <c r="F280" s="2" t="inlineStr">
        <is>
          <t>Nē</t>
        </is>
      </c>
      <c r="G280" s="2" t="n"/>
    </row>
    <row r="281">
      <c r="A281" s="2" t="inlineStr">
        <is>
          <t>UFGS_23_07_0-P0059-013</t>
        </is>
      </c>
      <c r="B281" s="2" t="inlineStr">
        <is>
          <t>UFGS_23_07_00.pdf</t>
        </is>
      </c>
      <c r="C281" s="2" t="n">
        <v>59</v>
      </c>
      <c r="D281" s="2" t="n">
        <v>13</v>
      </c>
      <c r="E281" s="2" t="inlineStr">
        <is>
          <t>Seal joints and ends with joint sealant, and seal with a vapor retarder coating.</t>
        </is>
      </c>
      <c r="F281" s="2" t="inlineStr">
        <is>
          <t>Nē</t>
        </is>
      </c>
      <c r="G281" s="2" t="n"/>
    </row>
    <row r="282">
      <c r="A282" s="2" t="inlineStr">
        <is>
          <t>UFGS_23_07_0-P0059-014</t>
        </is>
      </c>
      <c r="B282" s="2" t="inlineStr">
        <is>
          <t>UFGS_23_07_00.pdf</t>
        </is>
      </c>
      <c r="C282" s="2" t="n">
        <v>59</v>
      </c>
      <c r="D282" s="2" t="n">
        <v>14</v>
      </c>
      <c r="E282" s="2" t="inlineStr">
        <is>
          <t>d. Use removable insulation on heads of heat exchangers.</t>
        </is>
      </c>
      <c r="F282" s="2" t="inlineStr">
        <is>
          <t>Nē</t>
        </is>
      </c>
      <c r="G282" s="2" t="n"/>
    </row>
    <row r="283">
      <c r="A283" s="2" t="inlineStr">
        <is>
          <t>UFGS_23_07_0-P0059-015</t>
        </is>
      </c>
      <c r="B283" s="2" t="inlineStr">
        <is>
          <t>UFGS_23_07_00.pdf</t>
        </is>
      </c>
      <c r="C283" s="2" t="n">
        <v>59</v>
      </c>
      <c r="D283" s="2" t="n">
        <v>15</v>
      </c>
      <c r="E283" s="2" t="inlineStr">
        <is>
          <t>Fabricate removable section joints using a male-female shiplap type joint.</t>
        </is>
      </c>
      <c r="F283" s="2" t="inlineStr">
        <is>
          <t>Nē</t>
        </is>
      </c>
      <c r="G283" s="2" t="n"/>
    </row>
    <row r="284">
      <c r="A284" s="2" t="inlineStr">
        <is>
          <t>UFGS_23_07_0-P0059-016</t>
        </is>
      </c>
      <c r="B284" s="2" t="inlineStr">
        <is>
          <t>UFGS_23_07_00.pdf</t>
        </is>
      </c>
      <c r="C284" s="2" t="n">
        <v>59</v>
      </c>
      <c r="D284" s="2" t="n">
        <v>16</v>
      </c>
      <c r="E284" s="2" t="inlineStr">
        <is>
          <t>Finish the entire surface of the removable section by applying two coats of vapor retarder coating with a layer of glass cloth embedded between the coats.</t>
        </is>
      </c>
      <c r="F284" s="2" t="inlineStr">
        <is>
          <t>Nē</t>
        </is>
      </c>
      <c r="G284" s="2" t="n"/>
    </row>
    <row r="285">
      <c r="A285" s="2" t="inlineStr">
        <is>
          <t>UFGS_23_07_0-P0059-017</t>
        </is>
      </c>
      <c r="B285" s="2" t="inlineStr">
        <is>
          <t>UFGS_23_07_00.pdf</t>
        </is>
      </c>
      <c r="C285" s="2" t="n">
        <v>59</v>
      </c>
      <c r="D285" s="2" t="n">
        <v>17</v>
      </c>
      <c r="E285" s="2" t="inlineStr">
        <is>
          <t>e. Protect exposed insulation corners with corner angles.</t>
        </is>
      </c>
      <c r="F285" s="2" t="inlineStr">
        <is>
          <t>Nē</t>
        </is>
      </c>
      <c r="G285" s="2" t="n"/>
    </row>
    <row r="286">
      <c r="A286" s="2" t="inlineStr">
        <is>
          <t>UFGS_23_07_0-P0059-018</t>
        </is>
      </c>
      <c r="B286" s="2" t="inlineStr">
        <is>
          <t>UFGS_23_07_00.pdf</t>
        </is>
      </c>
      <c r="C286" s="2" t="n">
        <v>59</v>
      </c>
      <c r="D286" s="2" t="n">
        <v>18</v>
      </c>
      <c r="E286" s="2" t="inlineStr">
        <is>
          <t>f. Apply insulation on equipment with ribs over 150 by 150 mm 6 by 6 inches by 12 gauge welded wire fabric which has been cinched in place, or if approved by the Contracting Officer, spot weld to the equipment over the ribs.</t>
        </is>
      </c>
      <c r="F286" s="2" t="inlineStr">
        <is>
          <t>Nē</t>
        </is>
      </c>
      <c r="G286" s="2" t="n"/>
    </row>
    <row r="287">
      <c r="A287" s="2" t="inlineStr">
        <is>
          <t>UFGS_23_07_0-P0059-019</t>
        </is>
      </c>
      <c r="B287" s="2" t="inlineStr">
        <is>
          <t>UFGS_23_07_00.pdf</t>
        </is>
      </c>
      <c r="C287" s="2" t="n">
        <v>59</v>
      </c>
      <c r="D287" s="2" t="n">
        <v>19</v>
      </c>
      <c r="E287" s="2" t="inlineStr">
        <is>
          <t>Secure insulation to the fabric with J-hooks and 50 by 50 mm 2 by 2 inches washers or securely band or wire in place on 300 mm 12 inch centers.</t>
        </is>
      </c>
      <c r="F287" s="2" t="inlineStr">
        <is>
          <t>Nē</t>
        </is>
      </c>
      <c r="G287" s="2" t="n"/>
    </row>
    <row r="288">
      <c r="A288" s="2" t="inlineStr">
        <is>
          <t>UFGS_23_07_0-P0059-020</t>
        </is>
      </c>
      <c r="B288" s="2" t="inlineStr">
        <is>
          <t>UFGS_23_07_00.pdf</t>
        </is>
      </c>
      <c r="C288" s="2" t="n">
        <v>59</v>
      </c>
      <c r="D288" s="2" t="n">
        <v>20</v>
      </c>
      <c r="E288" s="2" t="inlineStr">
        <is>
          <t>3.4.2.4 Vapor Retarder/Vapor Barrier</t>
        </is>
      </c>
      <c r="F288" s="2" t="inlineStr">
        <is>
          <t>Nē</t>
        </is>
      </c>
      <c r="G288" s="2" t="n"/>
    </row>
    <row r="289">
      <c r="A289" s="2" t="inlineStr">
        <is>
          <t>UFGS_23_07_0-P0059-021</t>
        </is>
      </c>
      <c r="B289" s="2" t="inlineStr">
        <is>
          <t>UFGS_23_07_00.pdf</t>
        </is>
      </c>
      <c r="C289" s="2" t="n">
        <v>59</v>
      </c>
      <c r="D289" s="2" t="n">
        <v>21</v>
      </c>
      <c r="E289" s="2" t="inlineStr">
        <is>
          <t>Upon completion of installation of insulation, caulk penetrations.</t>
        </is>
      </c>
      <c r="F289" s="2" t="inlineStr">
        <is>
          <t>Nē</t>
        </is>
      </c>
      <c r="G289" s="2" t="n"/>
    </row>
    <row r="290">
      <c r="A290" s="2" t="inlineStr">
        <is>
          <t>UFGS_23_07_0-P0059-022</t>
        </is>
      </c>
      <c r="B290" s="2" t="inlineStr">
        <is>
          <t>UFGS_23_07_00.pdf</t>
        </is>
      </c>
      <c r="C290" s="2" t="n">
        <v>59</v>
      </c>
      <c r="D290" s="2" t="n">
        <v>22</v>
      </c>
      <c r="E290" s="2" t="inlineStr">
        <is>
          <t>Apply two coats of vapor retarder coating or vapor barrier jacket over insulation, including removable sections, with a layer of open mesh synthetic fabric embedded between the coats.</t>
        </is>
      </c>
      <c r="F290" s="2" t="inlineStr">
        <is>
          <t>Nē</t>
        </is>
      </c>
      <c r="G290" s="2" t="n"/>
    </row>
    <row r="291">
      <c r="A291" s="2" t="inlineStr">
        <is>
          <t>UFGS_23_07_0-P0059-023</t>
        </is>
      </c>
      <c r="B291" s="2" t="inlineStr">
        <is>
          <t>UFGS_23_07_00.pdf</t>
        </is>
      </c>
      <c r="C291" s="2" t="n">
        <v>59</v>
      </c>
      <c r="D291" s="2" t="n">
        <v>23</v>
      </c>
      <c r="E291" s="2" t="inlineStr">
        <is>
          <t>Ensure the total dry thickness of the finish is 2 mm 1/16 inch.</t>
        </is>
      </c>
      <c r="F291" s="2" t="inlineStr">
        <is>
          <t>Nē</t>
        </is>
      </c>
      <c r="G291" s="2" t="n"/>
    </row>
    <row r="292">
      <c r="A292" s="2" t="inlineStr">
        <is>
          <t>UFGS_23_07_0-P0059-024</t>
        </is>
      </c>
      <c r="B292" s="2" t="inlineStr">
        <is>
          <t>UFGS_23_07_00.pdf</t>
        </is>
      </c>
      <c r="C292" s="2" t="n">
        <v>59</v>
      </c>
      <c r="D292" s="2" t="n">
        <v>24</v>
      </c>
      <c r="E292" s="2" t="inlineStr">
        <is>
          <t>Apply flasing sealant or vapor barrier tape to parting line between equipment and removable section insulation.</t>
        </is>
      </c>
      <c r="F292" s="2" t="inlineStr">
        <is>
          <t>Nē</t>
        </is>
      </c>
      <c r="G292" s="2" t="n"/>
    </row>
    <row r="293">
      <c r="A293" s="2" t="inlineStr">
        <is>
          <t>UFGS_23_07_0-P0059-025</t>
        </is>
      </c>
      <c r="B293" s="2" t="inlineStr">
        <is>
          <t>UFGS_23_07_00.pdf</t>
        </is>
      </c>
      <c r="C293" s="2" t="n">
        <v>59</v>
      </c>
      <c r="D293" s="2" t="n">
        <v>25</v>
      </c>
      <c r="E293" s="2" t="inlineStr">
        <is>
          <t>3.4.3 Insulation for Hot Equipment</t>
        </is>
      </c>
      <c r="F293" s="2" t="inlineStr">
        <is>
          <t>Nē</t>
        </is>
      </c>
      <c r="G293" s="2" t="n"/>
    </row>
    <row r="294">
      <c r="A294" s="2" t="inlineStr">
        <is>
          <t>UFGS_23_07_0-P0059-026</t>
        </is>
      </c>
      <c r="B294" s="2" t="inlineStr">
        <is>
          <t>UFGS_23_07_00.pdf</t>
        </is>
      </c>
      <c r="C294" s="2" t="n">
        <v>59</v>
      </c>
      <c r="D294" s="2" t="n">
        <v>26</v>
      </c>
      <c r="E294" s="2" t="inlineStr">
        <is>
          <t>SECTION 23 07 00 Page 59</t>
        </is>
      </c>
      <c r="F294" s="2" t="inlineStr">
        <is>
          <t>Nē</t>
        </is>
      </c>
      <c r="G294" s="2" t="n"/>
    </row>
    <row r="295">
      <c r="A295" s="2" t="inlineStr">
        <is>
          <t>UFGS_26_41_0-P0004-001</t>
        </is>
      </c>
      <c r="B295" s="2" t="inlineStr">
        <is>
          <t>UFGS_26_41_00.pdf</t>
        </is>
      </c>
      <c r="C295" s="2" t="n">
        <v>4</v>
      </c>
      <c r="D295" s="2" t="n">
        <v>1</v>
      </c>
      <c r="E295" s="2" t="inlineStr">
        <is>
          <t>methods for grounding electrodes (if any).</t>
        </is>
      </c>
      <c r="F295" s="2" t="inlineStr">
        <is>
          <t>Nē</t>
        </is>
      </c>
      <c r="G295" s="2" t="n"/>
    </row>
    <row r="296">
      <c r="A296" s="2" t="inlineStr">
        <is>
          <t>UFGS_26_41_0-P0004-002</t>
        </is>
      </c>
      <c r="B296" s="2" t="inlineStr">
        <is>
          <t>UFGS_26_41_00.pdf</t>
        </is>
      </c>
      <c r="C296" s="2" t="n">
        <v>4</v>
      </c>
      <c r="D296" s="2" t="n">
        <v>2</v>
      </c>
      <c r="E296" s="2" t="inlineStr">
        <is>
          <t>5. Location of test wells.</t>
        </is>
      </c>
      <c r="F296" s="2" t="inlineStr">
        <is>
          <t>Nē</t>
        </is>
      </c>
      <c r="G296" s="2" t="n"/>
    </row>
    <row r="297">
      <c r="A297" s="2" t="inlineStr">
        <is>
          <t>UFGS_26_41_0-P0004-003</t>
        </is>
      </c>
      <c r="B297" s="2" t="inlineStr">
        <is>
          <t>UFGS_26_41_00.pdf</t>
        </is>
      </c>
      <c r="C297" s="2" t="n">
        <v>4</v>
      </c>
      <c r="D297" s="2" t="n">
        <v>3</v>
      </c>
      <c r="E297" s="2" t="inlineStr">
        <is>
          <t>6. Fence and gate bonding details.</t>
        </is>
      </c>
      <c r="F297" s="2" t="inlineStr">
        <is>
          <t>Nē</t>
        </is>
      </c>
      <c r="G297" s="2" t="n"/>
    </row>
    <row r="298">
      <c r="A298" s="2" t="inlineStr">
        <is>
          <t>UFGS_26_41_0-P0004-004</t>
        </is>
      </c>
      <c r="B298" s="2" t="inlineStr">
        <is>
          <t>UFGS_26_41_00.pdf</t>
        </is>
      </c>
      <c r="C298" s="2" t="n">
        <v>4</v>
      </c>
      <c r="D298" s="2" t="n">
        <v>4</v>
      </c>
      <c r="E298" s="2" t="inlineStr">
        <is>
          <t>7. For additions to lightning protection systems on existing facilities, show locations of tie-in points.</t>
        </is>
      </c>
      <c r="F298" s="2" t="inlineStr">
        <is>
          <t>Nē</t>
        </is>
      </c>
      <c r="G298" s="2" t="n"/>
    </row>
    <row r="299">
      <c r="A299" s="2" t="inlineStr">
        <is>
          <t>UFGS_26_41_0-P0004-005</t>
        </is>
      </c>
      <c r="B299" s="2" t="inlineStr">
        <is>
          <t>UFGS_26_41_00.pdf</t>
        </is>
      </c>
      <c r="C299" s="2" t="n">
        <v>4</v>
      </c>
      <c r="D299" s="2" t="n">
        <v>5</v>
      </c>
      <c r="E299" s="2" t="inlineStr">
        <is>
          <t>PART 1 GENERAL</t>
        </is>
      </c>
      <c r="F299" s="2" t="inlineStr">
        <is>
          <t>Nē</t>
        </is>
      </c>
      <c r="G299" s="2" t="n"/>
    </row>
    <row r="300">
      <c r="A300" s="2" t="inlineStr">
        <is>
          <t>UFGS_26_41_0-P0004-006</t>
        </is>
      </c>
      <c r="B300" s="2" t="inlineStr">
        <is>
          <t>UFGS_26_41_00.pdf</t>
        </is>
      </c>
      <c r="C300" s="2" t="n">
        <v>4</v>
      </c>
      <c r="D300" s="2" t="n">
        <v>6</v>
      </c>
      <c r="E300" s="2" t="inlineStr">
        <is>
          <t>1.1 REFERENCES</t>
        </is>
      </c>
      <c r="F300" s="2" t="inlineStr">
        <is>
          <t>Nē</t>
        </is>
      </c>
      <c r="G300" s="2" t="n"/>
    </row>
    <row r="301">
      <c r="A301" s="2" t="inlineStr">
        <is>
          <t>UFGS_26_41_0-P0004-007</t>
        </is>
      </c>
      <c r="B301" s="2" t="inlineStr">
        <is>
          <t>UFGS_26_41_00.pdf</t>
        </is>
      </c>
      <c r="C301" s="2" t="n">
        <v>4</v>
      </c>
      <c r="D301" s="2" t="n">
        <v>7</v>
      </c>
      <c r="E301" s="2" t="inlineStr">
        <is>
          <t>NOTE: This paragraph is used to list the publications cited in the text of the guide specification.</t>
        </is>
      </c>
      <c r="F301" s="2" t="inlineStr">
        <is>
          <t>Nē</t>
        </is>
      </c>
      <c r="G301" s="2" t="n"/>
    </row>
    <row r="302">
      <c r="A302" s="2" t="inlineStr">
        <is>
          <t>UFGS_26_41_0-P0004-008</t>
        </is>
      </c>
      <c r="B302" s="2" t="inlineStr">
        <is>
          <t>UFGS_26_41_00.pdf</t>
        </is>
      </c>
      <c r="C302" s="2" t="n">
        <v>4</v>
      </c>
      <c r="D302" s="2" t="n">
        <v>8</v>
      </c>
      <c r="E302" s="2" t="inlineStr">
        <is>
          <t>The publications are referred to in the text by basic designation only and listed in this paragraph by organization, designation, date, and title.</t>
        </is>
      </c>
      <c r="F302" s="2" t="inlineStr">
        <is>
          <t>Nē</t>
        </is>
      </c>
      <c r="G302" s="2" t="n"/>
    </row>
    <row r="303">
      <c r="A303" s="2" t="inlineStr">
        <is>
          <t>UFGS_26_41_0-P0004-009</t>
        </is>
      </c>
      <c r="B303" s="2" t="inlineStr">
        <is>
          <t>UFGS_26_41_00.pdf</t>
        </is>
      </c>
      <c r="C303" s="2" t="n">
        <v>4</v>
      </c>
      <c r="D303" s="2" t="n">
        <v>9</v>
      </c>
      <c r="E303" s="2" t="inlineStr">
        <is>
          <t>Use the Reference Wizard's Check Reference feature when you add a Reference Identifier (RID) outside of the Section's Reference Article to automatically place the reference in the Reference Article.</t>
        </is>
      </c>
      <c r="F303" s="2" t="inlineStr">
        <is>
          <t>Nē</t>
        </is>
      </c>
      <c r="G303" s="2" t="n"/>
    </row>
    <row r="304">
      <c r="A304" s="2" t="inlineStr">
        <is>
          <t>UFGS_26_41_0-P0004-010</t>
        </is>
      </c>
      <c r="B304" s="2" t="inlineStr">
        <is>
          <t>UFGS_26_41_00.pdf</t>
        </is>
      </c>
      <c r="C304" s="2" t="n">
        <v>4</v>
      </c>
      <c r="D304" s="2" t="n">
        <v>10</v>
      </c>
      <c r="E304" s="2" t="inlineStr">
        <is>
          <t>Also use the Reference Wizard's Check Reference feature to update the issue dates.</t>
        </is>
      </c>
      <c r="F304" s="2" t="inlineStr">
        <is>
          <t>Nē</t>
        </is>
      </c>
      <c r="G304" s="2" t="n"/>
    </row>
    <row r="305">
      <c r="A305" s="2" t="inlineStr">
        <is>
          <t>UFGS_26_41_0-P0004-011</t>
        </is>
      </c>
      <c r="B305" s="2" t="inlineStr">
        <is>
          <t>UFGS_26_41_00.pdf</t>
        </is>
      </c>
      <c r="C305" s="2" t="n">
        <v>4</v>
      </c>
      <c r="D305" s="2" t="n">
        <v>11</v>
      </c>
      <c r="E305" s="2" t="inlineStr">
        <is>
          <t>References not used in the text will automatically be deleted from this section of the project specification when you choose to reconcile references in the publish print process.</t>
        </is>
      </c>
      <c r="F305" s="2" t="inlineStr">
        <is>
          <t>Nē</t>
        </is>
      </c>
      <c r="G305" s="2" t="n"/>
    </row>
    <row r="306">
      <c r="A306" s="2" t="inlineStr">
        <is>
          <t>UFGS_26_41_0-P0004-012</t>
        </is>
      </c>
      <c r="B306" s="2" t="inlineStr">
        <is>
          <t>UFGS_26_41_00.pdf</t>
        </is>
      </c>
      <c r="C306" s="2" t="n">
        <v>4</v>
      </c>
      <c r="D306" s="2" t="n">
        <v>12</v>
      </c>
      <c r="E306" s="2" t="inlineStr">
        <is>
          <t>The publications listed below form a part of this specification to the extent referenced.</t>
        </is>
      </c>
      <c r="F306" s="2" t="inlineStr">
        <is>
          <t>Nē</t>
        </is>
      </c>
      <c r="G306" s="2" t="n"/>
    </row>
    <row r="307">
      <c r="A307" s="2" t="inlineStr">
        <is>
          <t>UFGS_26_41_0-P0004-013</t>
        </is>
      </c>
      <c r="B307" s="2" t="inlineStr">
        <is>
          <t>UFGS_26_41_00.pdf</t>
        </is>
      </c>
      <c r="C307" s="2" t="n">
        <v>4</v>
      </c>
      <c r="D307" s="2" t="n">
        <v>13</v>
      </c>
      <c r="E307" s="2" t="inlineStr">
        <is>
          <t>The publications are referred to within the text by the basic designation only.</t>
        </is>
      </c>
      <c r="F307" s="2" t="inlineStr">
        <is>
          <t>Nē</t>
        </is>
      </c>
      <c r="G307" s="2" t="n"/>
    </row>
    <row r="308">
      <c r="A308" s="2" t="inlineStr">
        <is>
          <t>UFGS_26_41_0-P0004-014</t>
        </is>
      </c>
      <c r="B308" s="2" t="inlineStr">
        <is>
          <t>UFGS_26_41_00.pdf</t>
        </is>
      </c>
      <c r="C308" s="2" t="n">
        <v>4</v>
      </c>
      <c r="D308" s="2" t="n">
        <v>14</v>
      </c>
      <c r="E308" s="2" t="inlineStr">
        <is>
          <t>INSTITUTE OF ELECTRICAL AND ELECTRONICS ENGINEERS (IEEE)</t>
        </is>
      </c>
      <c r="F308" s="2" t="inlineStr">
        <is>
          <t>Nē</t>
        </is>
      </c>
      <c r="G308" s="2" t="n"/>
    </row>
    <row r="309">
      <c r="A309" s="2" t="inlineStr">
        <is>
          <t>UFGS_26_41_0-P0004-015</t>
        </is>
      </c>
      <c r="B309" s="2" t="inlineStr">
        <is>
          <t>UFGS_26_41_00.pdf</t>
        </is>
      </c>
      <c r="C309" s="2" t="n">
        <v>4</v>
      </c>
      <c r="D309" s="2" t="n">
        <v>15</v>
      </c>
      <c r="E309" s="2" t="inlineStr">
        <is>
          <t>IEEE 81 (2025) IEEE Guide for Measuring Earth Resistivity, Ground Impedance, and Earth</t>
        </is>
      </c>
      <c r="F309" s="2" t="inlineStr">
        <is>
          <t>Nē</t>
        </is>
      </c>
      <c r="G309" s="2" t="n"/>
    </row>
    <row r="310">
      <c r="A310" s="2" t="inlineStr">
        <is>
          <t>UFGS_26_41_0-P0004-016</t>
        </is>
      </c>
      <c r="B310" s="2" t="inlineStr">
        <is>
          <t>UFGS_26_41_00.pdf</t>
        </is>
      </c>
      <c r="C310" s="2" t="n">
        <v>4</v>
      </c>
      <c r="D310" s="2" t="n">
        <v>16</v>
      </c>
      <c r="E310" s="2" t="inlineStr">
        <is>
          <t>NATIONAL FIRE PROTECTION ASSOCIATION (NFPA)</t>
        </is>
      </c>
      <c r="F310" s="2" t="inlineStr">
        <is>
          <t>Nē</t>
        </is>
      </c>
      <c r="G310" s="2" t="n"/>
    </row>
    <row r="311">
      <c r="A311" s="2" t="inlineStr">
        <is>
          <t>UFGS_26_41_0-P0004-017</t>
        </is>
      </c>
      <c r="B311" s="2" t="inlineStr">
        <is>
          <t>UFGS_26_41_00.pdf</t>
        </is>
      </c>
      <c r="C311" s="2" t="n">
        <v>4</v>
      </c>
      <c r="D311" s="2" t="n">
        <v>17</v>
      </c>
      <c r="E311" s="2" t="inlineStr">
        <is>
          <t>NFPA 70 (2026;</t>
        </is>
      </c>
      <c r="F311" s="2" t="inlineStr">
        <is>
          <t>Nē</t>
        </is>
      </c>
      <c r="G311" s="2" t="n"/>
    </row>
    <row r="312">
      <c r="A312" s="2" t="inlineStr">
        <is>
          <t>UFGS_26_41_0-P0004-018</t>
        </is>
      </c>
      <c r="B312" s="2" t="inlineStr">
        <is>
          <t>UFGS_26_41_00.pdf</t>
        </is>
      </c>
      <c r="C312" s="2" t="n">
        <v>4</v>
      </c>
      <c r="D312" s="2" t="n">
        <v>18</v>
      </c>
      <c r="E312" s="2" t="inlineStr">
        <is>
          <t>TIA 26-1;</t>
        </is>
      </c>
      <c r="F312" s="2" t="inlineStr">
        <is>
          <t>Nē</t>
        </is>
      </c>
      <c r="G312" s="2" t="n"/>
    </row>
    <row r="313">
      <c r="A313" s="2" t="inlineStr">
        <is>
          <t>UFGS_26_41_0-P0004-019</t>
        </is>
      </c>
      <c r="B313" s="2" t="inlineStr">
        <is>
          <t>UFGS_26_41_00.pdf</t>
        </is>
      </c>
      <c r="C313" s="2" t="n">
        <v>4</v>
      </c>
      <c r="D313" s="2" t="n">
        <v>19</v>
      </c>
      <c r="E313" s="2" t="inlineStr">
        <is>
          <t>ERTA 26-1;</t>
        </is>
      </c>
      <c r="F313" s="2" t="inlineStr">
        <is>
          <t>Nē</t>
        </is>
      </c>
      <c r="G313" s="2" t="n"/>
    </row>
    <row r="314">
      <c r="A314" s="2" t="inlineStr">
        <is>
          <t>UFGS_26_41_0-P0004-020</t>
        </is>
      </c>
      <c r="B314" s="2" t="inlineStr">
        <is>
          <t>UFGS_26_41_00.pdf</t>
        </is>
      </c>
      <c r="C314" s="2" t="n">
        <v>4</v>
      </c>
      <c r="D314" s="2" t="n">
        <v>20</v>
      </c>
      <c r="E314" s="2" t="inlineStr">
        <is>
          <t>TIA 26-2;</t>
        </is>
      </c>
      <c r="F314" s="2" t="inlineStr">
        <is>
          <t>Nē</t>
        </is>
      </c>
      <c r="G314" s="2" t="n"/>
    </row>
    <row r="315">
      <c r="A315" s="2" t="inlineStr">
        <is>
          <t>UFGS_26_41_0-P0004-021</t>
        </is>
      </c>
      <c r="B315" s="2" t="inlineStr">
        <is>
          <t>UFGS_26_41_00.pdf</t>
        </is>
      </c>
      <c r="C315" s="2" t="n">
        <v>4</v>
      </c>
      <c r="D315" s="2" t="n">
        <v>21</v>
      </c>
      <c r="E315" s="2" t="inlineStr">
        <is>
          <t>TIA</t>
        </is>
      </c>
      <c r="F315" s="2" t="inlineStr">
        <is>
          <t>Nē</t>
        </is>
      </c>
      <c r="G315" s="2" t="n"/>
    </row>
    <row r="316">
      <c r="A316" s="2" t="inlineStr">
        <is>
          <t>UFGS_26_41_0-P0004-022</t>
        </is>
      </c>
      <c r="B316" s="2" t="inlineStr">
        <is>
          <t>UFGS_26_41_00.pdf</t>
        </is>
      </c>
      <c r="C316" s="2" t="n">
        <v>4</v>
      </c>
      <c r="D316" s="2" t="n">
        <v>22</v>
      </c>
      <c r="E316" s="2" t="inlineStr">
        <is>
          <t>26-3;</t>
        </is>
      </c>
      <c r="F316" s="2" t="inlineStr">
        <is>
          <t>Nē</t>
        </is>
      </c>
      <c r="G316" s="2" t="n"/>
    </row>
    <row r="317">
      <c r="A317" s="2" t="inlineStr">
        <is>
          <t>UFGS_26_41_0-P0004-023</t>
        </is>
      </c>
      <c r="B317" s="2" t="inlineStr">
        <is>
          <t>UFGS_26_41_00.pdf</t>
        </is>
      </c>
      <c r="C317" s="2" t="n">
        <v>4</v>
      </c>
      <c r="D317" s="2" t="n">
        <v>23</v>
      </c>
      <c r="E317" s="2" t="inlineStr">
        <is>
          <t>TIA 26-4;</t>
        </is>
      </c>
      <c r="F317" s="2" t="inlineStr">
        <is>
          <t>Nē</t>
        </is>
      </c>
      <c r="G317" s="2" t="n"/>
    </row>
    <row r="318">
      <c r="A318" s="2" t="inlineStr">
        <is>
          <t>UFGS_26_41_0-P0004-024</t>
        </is>
      </c>
      <c r="B318" s="2" t="inlineStr">
        <is>
          <t>UFGS_26_41_00.pdf</t>
        </is>
      </c>
      <c r="C318" s="2" t="n">
        <v>4</v>
      </c>
      <c r="D318" s="2" t="n">
        <v>24</v>
      </c>
      <c r="E318" s="2" t="inlineStr">
        <is>
          <t>TIA 26-5;</t>
        </is>
      </c>
      <c r="F318" s="2" t="inlineStr">
        <is>
          <t>Nē</t>
        </is>
      </c>
      <c r="G318" s="2" t="n"/>
    </row>
    <row r="319">
      <c r="A319" s="2" t="inlineStr">
        <is>
          <t>UFGS_26_41_0-P0004-025</t>
        </is>
      </c>
      <c r="B319" s="2" t="inlineStr">
        <is>
          <t>UFGS_26_41_00.pdf</t>
        </is>
      </c>
      <c r="C319" s="2" t="n">
        <v>4</v>
      </c>
      <c r="D319" s="2" t="n">
        <v>25</v>
      </c>
      <c r="E319" s="2" t="inlineStr">
        <is>
          <t>TIA 26-6;</t>
        </is>
      </c>
      <c r="F319" s="2" t="inlineStr">
        <is>
          <t>Nē</t>
        </is>
      </c>
      <c r="G319" s="2" t="n"/>
    </row>
    <row r="320">
      <c r="A320" s="2" t="inlineStr">
        <is>
          <t>UFGS_26_41_0-P0004-026</t>
        </is>
      </c>
      <c r="B320" s="2" t="inlineStr">
        <is>
          <t>UFGS_26_41_00.pdf</t>
        </is>
      </c>
      <c r="C320" s="2" t="n">
        <v>4</v>
      </c>
      <c r="D320" s="2" t="n">
        <v>26</v>
      </c>
      <c r="E320" s="2" t="inlineStr">
        <is>
          <t>26-7;</t>
        </is>
      </c>
      <c r="F320" s="2" t="inlineStr">
        <is>
          <t>Nē</t>
        </is>
      </c>
      <c r="G320" s="2" t="n"/>
    </row>
    <row r="321">
      <c r="A321" s="2" t="inlineStr">
        <is>
          <t>UFGS_26_41_0-P0004-027</t>
        </is>
      </c>
      <c r="B321" s="2" t="inlineStr">
        <is>
          <t>UFGS_26_41_00.pdf</t>
        </is>
      </c>
      <c r="C321" s="2" t="n">
        <v>4</v>
      </c>
      <c r="D321" s="2" t="n">
        <v>27</v>
      </c>
      <c r="E321" s="2" t="inlineStr">
        <is>
          <t>ERTA 26-2;</t>
        </is>
      </c>
      <c r="F321" s="2" t="inlineStr">
        <is>
          <t>Nē</t>
        </is>
      </c>
      <c r="G321" s="2" t="n"/>
    </row>
    <row r="322">
      <c r="A322" s="2" t="inlineStr">
        <is>
          <t>UFGS_26_41_0-P0004-028</t>
        </is>
      </c>
      <c r="B322" s="2" t="inlineStr">
        <is>
          <t>UFGS_26_41_00.pdf</t>
        </is>
      </c>
      <c r="C322" s="2" t="n">
        <v>4</v>
      </c>
      <c r="D322" s="2" t="n">
        <v>28</v>
      </c>
      <c r="E322" s="2" t="inlineStr">
        <is>
          <t>ERTA 26-3) National Electrical Code</t>
        </is>
      </c>
      <c r="F322" s="2" t="inlineStr">
        <is>
          <t>Nē</t>
        </is>
      </c>
      <c r="G322" s="2" t="n"/>
    </row>
    <row r="323">
      <c r="A323" s="2" t="inlineStr">
        <is>
          <t>UFGS_26_41_0-P0004-029</t>
        </is>
      </c>
      <c r="B323" s="2" t="inlineStr">
        <is>
          <t>UFGS_26_41_00.pdf</t>
        </is>
      </c>
      <c r="C323" s="2" t="n">
        <v>4</v>
      </c>
      <c r="D323" s="2" t="n">
        <v>29</v>
      </c>
      <c r="E323" s="2" t="inlineStr">
        <is>
          <t>NFPA 780 (2026) Standard for the Installation of Lightning Protection Systems</t>
        </is>
      </c>
      <c r="F323" s="2" t="inlineStr">
        <is>
          <t>Nē</t>
        </is>
      </c>
      <c r="G323" s="2" t="n"/>
    </row>
    <row r="324">
      <c r="A324" s="2" t="inlineStr">
        <is>
          <t>UFGS_26_41_0-P0004-030</t>
        </is>
      </c>
      <c r="B324" s="2" t="inlineStr">
        <is>
          <t>UFGS_26_41_00.pdf</t>
        </is>
      </c>
      <c r="C324" s="2" t="n">
        <v>4</v>
      </c>
      <c r="D324" s="2" t="n">
        <v>30</v>
      </c>
      <c r="E324" s="2" t="inlineStr">
        <is>
          <t>U.S.</t>
        </is>
      </c>
      <c r="F324" s="2" t="inlineStr">
        <is>
          <t>Nē</t>
        </is>
      </c>
      <c r="G324" s="2" t="n"/>
    </row>
    <row r="325">
      <c r="A325" s="2" t="inlineStr">
        <is>
          <t>UFGS_26_41_0-P0004-031</t>
        </is>
      </c>
      <c r="B325" s="2" t="inlineStr">
        <is>
          <t>UFGS_26_41_00.pdf</t>
        </is>
      </c>
      <c r="C325" s="2" t="n">
        <v>4</v>
      </c>
      <c r="D325" s="2" t="n">
        <v>31</v>
      </c>
      <c r="E325" s="2" t="inlineStr">
        <is>
          <t>AIR FORCE (USAF)</t>
        </is>
      </c>
      <c r="F325" s="2" t="inlineStr">
        <is>
          <t>Nē</t>
        </is>
      </c>
      <c r="G325" s="2" t="n"/>
    </row>
    <row r="326">
      <c r="A326" s="2" t="inlineStr">
        <is>
          <t>UFGS_26_41_0-P0004-032</t>
        </is>
      </c>
      <c r="B326" s="2" t="inlineStr">
        <is>
          <t>UFGS_26_41_00.pdf</t>
        </is>
      </c>
      <c r="C326" s="2" t="n">
        <v>4</v>
      </c>
      <c r="D326" s="2" t="n">
        <v>32</v>
      </c>
      <c r="E326" s="2" t="inlineStr">
        <is>
          <t>DAFMAN 32-1065 (2020) Grounding and Electrical Systems</t>
        </is>
      </c>
      <c r="F326" s="2" t="inlineStr">
        <is>
          <t>Nē</t>
        </is>
      </c>
      <c r="G326" s="2" t="n"/>
    </row>
    <row r="327">
      <c r="A327" s="2" t="inlineStr">
        <is>
          <t>UFGS_26_41_0-P0004-033</t>
        </is>
      </c>
      <c r="B327" s="2" t="inlineStr">
        <is>
          <t>UFGS_26_41_00.pdf</t>
        </is>
      </c>
      <c r="C327" s="2" t="n">
        <v>4</v>
      </c>
      <c r="D327" s="2" t="n">
        <v>33</v>
      </c>
      <c r="E327" s="2" t="inlineStr">
        <is>
          <t>DEPARTMENT OF DEFENSE (DOD)</t>
        </is>
      </c>
      <c r="F327" s="2" t="inlineStr">
        <is>
          <t>Nē</t>
        </is>
      </c>
      <c r="G327" s="2" t="n"/>
    </row>
    <row r="328">
      <c r="A328" s="2" t="inlineStr">
        <is>
          <t>UFGS_26_41_0-P0004-034</t>
        </is>
      </c>
      <c r="B328" s="2" t="inlineStr">
        <is>
          <t>UFGS_26_41_00.pdf</t>
        </is>
      </c>
      <c r="C328" s="2" t="n">
        <v>4</v>
      </c>
      <c r="D328" s="2" t="n">
        <v>34</v>
      </c>
      <c r="E328" s="2" t="inlineStr">
        <is>
          <t>UFC 3-575-01 (Digital Version) Lightning and Static Electricity Protection Systems</t>
        </is>
      </c>
      <c r="F328" s="2" t="inlineStr">
        <is>
          <t>Nē</t>
        </is>
      </c>
      <c r="G328" s="2" t="n"/>
    </row>
    <row r="329">
      <c r="A329" s="2" t="inlineStr">
        <is>
          <t>UFGS_26_41_0-P0004-035</t>
        </is>
      </c>
      <c r="B329" s="2" t="inlineStr">
        <is>
          <t>UFGS_26_41_00.pdf</t>
        </is>
      </c>
      <c r="C329" s="2" t="n">
        <v>4</v>
      </c>
      <c r="D329" s="2" t="n">
        <v>35</v>
      </c>
      <c r="E329" s="2" t="inlineStr">
        <is>
          <t>SECTION 26 41 00 Page 4</t>
        </is>
      </c>
      <c r="F329" s="2" t="inlineStr">
        <is>
          <t>Nē</t>
        </is>
      </c>
      <c r="G329" s="2" t="n"/>
    </row>
    <row r="330">
      <c r="A330" s="2" t="inlineStr">
        <is>
          <t>UFGS_26_41_0-P0012-001</t>
        </is>
      </c>
      <c r="B330" s="2" t="inlineStr">
        <is>
          <t>UFGS_26_41_00.pdf</t>
        </is>
      </c>
      <c r="C330" s="2" t="n">
        <v>12</v>
      </c>
      <c r="D330" s="2" t="n">
        <v>1</v>
      </c>
      <c r="E330" s="2" t="inlineStr">
        <is>
          <t>3.1.3 Mast Lightning Protection System</t>
        </is>
      </c>
      <c r="F330" s="2" t="inlineStr">
        <is>
          <t>Nē</t>
        </is>
      </c>
      <c r="G330" s="2" t="n"/>
    </row>
    <row r="331">
      <c r="A331" s="2" t="inlineStr">
        <is>
          <t>UFGS_26_41_0-P0012-002</t>
        </is>
      </c>
      <c r="B331" s="2" t="inlineStr">
        <is>
          <t>UFGS_26_41_00.pdf</t>
        </is>
      </c>
      <c r="C331" s="2" t="n">
        <v>12</v>
      </c>
      <c r="D331" s="2" t="n">
        <v>2</v>
      </c>
      <c r="E331" s="2" t="inlineStr">
        <is>
          <t>A mast lightning protection system consists of one or more individual masts not interconnected to each other, and isolated from the building, that provide sufficient protection for the structure contents.</t>
        </is>
      </c>
      <c r="F331" s="2" t="inlineStr">
        <is>
          <t>Nē</t>
        </is>
      </c>
      <c r="G331" s="2" t="n"/>
    </row>
    <row r="332">
      <c r="A332" s="2" t="inlineStr">
        <is>
          <t>UFGS_26_41_0-P0012-003</t>
        </is>
      </c>
      <c r="B332" s="2" t="inlineStr">
        <is>
          <t>UFGS_26_41_00.pdf</t>
        </is>
      </c>
      <c r="C332" s="2" t="n">
        <v>12</v>
      </c>
      <c r="D332" s="2" t="n">
        <v>3</v>
      </c>
      <c r="E332" s="2" t="inlineStr">
        <is>
          <t>These masts may be wooden or metallic.</t>
        </is>
      </c>
      <c r="F332" s="2" t="inlineStr">
        <is>
          <t>Nē</t>
        </is>
      </c>
      <c r="G332" s="2" t="n"/>
    </row>
    <row r="333">
      <c r="A333" s="2" t="inlineStr">
        <is>
          <t>UFGS_26_41_0-P0012-004</t>
        </is>
      </c>
      <c r="B333" s="2" t="inlineStr">
        <is>
          <t>UFGS_26_41_00.pdf</t>
        </is>
      </c>
      <c r="C333" s="2" t="n">
        <v>12</v>
      </c>
      <c r="D333" s="2" t="n">
        <v>4</v>
      </c>
      <c r="E333" s="2" t="inlineStr">
        <is>
          <t>Wood poles (masts) require air terminals on top that are at least 254 mm 10 inches higher than the top of the mast, down conductors that provide at least two paths to ground (as close to 180 degrees apart on the pole perimeter as possible), to transport the current from a direct strike directly to grounding electrodes (ground) that are 16 mm by 2440 mm 5/8 inches by 8 feet.</t>
        </is>
      </c>
      <c r="F333" s="2" t="inlineStr">
        <is>
          <t>Nē</t>
        </is>
      </c>
      <c r="G333" s="2" t="n"/>
    </row>
    <row r="334">
      <c r="A334" s="2" t="inlineStr">
        <is>
          <t>UFGS_26_41_0-P0012-005</t>
        </is>
      </c>
      <c r="B334" s="2" t="inlineStr">
        <is>
          <t>UFGS_26_41_00.pdf</t>
        </is>
      </c>
      <c r="C334" s="2" t="n">
        <v>12</v>
      </c>
      <c r="D334" s="2" t="n">
        <v>5</v>
      </c>
      <c r="E334" s="2" t="inlineStr">
        <is>
          <t>Metallic masts do not require air terminals and are not required be rated for use on electrical distribution or transmission lines because only vertical forces are experienced by the mast.</t>
        </is>
      </c>
      <c r="F334" s="2" t="inlineStr">
        <is>
          <t>Nē</t>
        </is>
      </c>
      <c r="G334" s="2" t="n"/>
    </row>
    <row r="335">
      <c r="A335" s="2" t="inlineStr">
        <is>
          <t>UFGS_26_41_0-P0012-006</t>
        </is>
      </c>
      <c r="B335" s="2" t="inlineStr">
        <is>
          <t>UFGS_26_41_00.pdf</t>
        </is>
      </c>
      <c r="C335" s="2" t="n">
        <v>12</v>
      </c>
      <c r="D335" s="2" t="n">
        <v>6</v>
      </c>
      <c r="E335" s="2" t="inlineStr">
        <is>
          <t>If lights or other items are mounted on the top of the masts, guy wires and proper bonding of the guy wires are required.</t>
        </is>
      </c>
      <c r="F335" s="2" t="inlineStr">
        <is>
          <t>Nē</t>
        </is>
      </c>
      <c r="G335" s="2" t="n"/>
    </row>
    <row r="336">
      <c r="A336" s="2" t="inlineStr">
        <is>
          <t>UFGS_26_41_0-P0012-007</t>
        </is>
      </c>
      <c r="B336" s="2" t="inlineStr">
        <is>
          <t>UFGS_26_41_00.pdf</t>
        </is>
      </c>
      <c r="C336" s="2" t="n">
        <v>12</v>
      </c>
      <c r="D336" s="2" t="n">
        <v>7</v>
      </c>
      <c r="E336" s="2" t="inlineStr">
        <is>
          <t>The base of a metallic mast should have connections to two separate ground rods, 16 mm by 2440 mm 5/8 inches by 8 feet, unless equivalent protection is provided (designed within) in the footer or some other documented manner.</t>
        </is>
      </c>
      <c r="F336" s="2" t="inlineStr">
        <is>
          <t>Nē</t>
        </is>
      </c>
      <c r="G336" s="2" t="n"/>
    </row>
    <row r="337">
      <c r="A337" s="2" t="inlineStr">
        <is>
          <t>UFGS_26_41_0-P0012-008</t>
        </is>
      </c>
      <c r="B337" s="2" t="inlineStr">
        <is>
          <t>UFGS_26_41_00.pdf</t>
        </is>
      </c>
      <c r="C337" s="2" t="n">
        <v>12</v>
      </c>
      <c r="D337" s="2" t="n">
        <v>8</v>
      </c>
      <c r="E337" s="2" t="inlineStr">
        <is>
          <t>Paths to ground must possess a visible test point.</t>
        </is>
      </c>
      <c r="F337" s="2" t="inlineStr">
        <is>
          <t>Nē</t>
        </is>
      </c>
      <c r="G337" s="2" t="n"/>
    </row>
    <row r="338">
      <c r="A338" s="2" t="inlineStr">
        <is>
          <t>UFGS_26_41_0-P0012-009</t>
        </is>
      </c>
      <c r="B338" s="2" t="inlineStr">
        <is>
          <t>UFGS_26_41_00.pdf</t>
        </is>
      </c>
      <c r="C338" s="2" t="n">
        <v>12</v>
      </c>
      <c r="D338" s="2" t="n">
        <v>9</v>
      </c>
      <c r="E338" s="2" t="inlineStr">
        <is>
          <t>A rolling sphere diagram showing proof of protection is a required submittal that must be approved prior to sizing or ordering the masts.</t>
        </is>
      </c>
      <c r="F338" s="2" t="inlineStr">
        <is>
          <t>?</t>
        </is>
      </c>
      <c r="G338" s="2" t="n"/>
    </row>
    <row r="339">
      <c r="A339" s="2" t="inlineStr">
        <is>
          <t>UFGS_26_41_0-P0012-010</t>
        </is>
      </c>
      <c r="B339" s="2" t="inlineStr">
        <is>
          <t>UFGS_26_41_00.pdf</t>
        </is>
      </c>
      <c r="C339" s="2" t="n">
        <v>12</v>
      </c>
      <c r="D339" s="2" t="n">
        <v>10</v>
      </c>
      <c r="E339" s="2" t="inlineStr">
        <is>
          <t>This system shall comply with NFPA 780 and UFC 3-575-01[, and DAFMAN 32-1065].</t>
        </is>
      </c>
      <c r="F339" s="2" t="inlineStr">
        <is>
          <t>Nē</t>
        </is>
      </c>
      <c r="G339" s="2" t="n"/>
    </row>
    <row r="340">
      <c r="A340" s="2" t="inlineStr">
        <is>
          <t>UFGS_26_41_0-P0012-011</t>
        </is>
      </c>
      <c r="B340" s="2" t="inlineStr">
        <is>
          <t>UFGS_26_41_00.pdf</t>
        </is>
      </c>
      <c r="C340" s="2" t="n">
        <v>12</v>
      </c>
      <c r="D340" s="2" t="n">
        <v>11</v>
      </c>
      <c r="E340" s="2" t="inlineStr">
        <is>
          <t>A lightning protection system may consist of a mixture of these three systems, in order to limit cost of the system while still providing protection.</t>
        </is>
      </c>
      <c r="F340" s="2" t="inlineStr">
        <is>
          <t>Nē</t>
        </is>
      </c>
      <c r="G340" s="2" t="n"/>
    </row>
    <row r="341">
      <c r="A341" s="2" t="inlineStr">
        <is>
          <t>UFGS_26_41_0-P0012-012</t>
        </is>
      </c>
      <c r="B341" s="2" t="inlineStr">
        <is>
          <t>UFGS_26_41_00.pdf</t>
        </is>
      </c>
      <c r="C341" s="2" t="n">
        <v>12</v>
      </c>
      <c r="D341" s="2" t="n">
        <v>12</v>
      </c>
      <c r="E341" s="2" t="inlineStr">
        <is>
          <t>For instance, an irregularly shaped building that uses a catenary system may use a single mast to cover an area that is just outside the zone of protection created by the catenary, as indicated by a rolling sphere diagram.</t>
        </is>
      </c>
      <c r="F341" s="2" t="inlineStr">
        <is>
          <t>Nē</t>
        </is>
      </c>
      <c r="G341" s="2" t="n"/>
    </row>
    <row r="342">
      <c r="A342" s="2" t="inlineStr">
        <is>
          <t>UFGS_26_41_0-P0012-013</t>
        </is>
      </c>
      <c r="B342" s="2" t="inlineStr">
        <is>
          <t>UFGS_26_41_00.pdf</t>
        </is>
      </c>
      <c r="C342" s="2" t="n">
        <v>12</v>
      </c>
      <c r="D342" s="2" t="n">
        <v>13</v>
      </c>
      <c r="E342" s="2" t="inlineStr">
        <is>
          <t>3.1.4 Down Conductors</t>
        </is>
      </c>
      <c r="F342" s="2" t="inlineStr">
        <is>
          <t>Nē</t>
        </is>
      </c>
      <c r="G342" s="2" t="n"/>
    </row>
    <row r="343">
      <c r="A343" s="2" t="inlineStr">
        <is>
          <t>UFGS_26_41_0-P0012-014</t>
        </is>
      </c>
      <c r="B343" s="2" t="inlineStr">
        <is>
          <t>UFGS_26_41_00.pdf</t>
        </is>
      </c>
      <c r="C343" s="2" t="n">
        <v>12</v>
      </c>
      <c r="D343" s="2" t="n">
        <v>14</v>
      </c>
      <c r="E343" s="2" t="inlineStr">
        <is>
          <t>A minimum of two paths to ground shall be provided on any system.</t>
        </is>
      </c>
      <c r="F343" s="2" t="inlineStr">
        <is>
          <t>Nē</t>
        </is>
      </c>
      <c r="G343" s="2" t="n"/>
    </row>
    <row r="344">
      <c r="A344" s="2" t="inlineStr">
        <is>
          <t>UFGS_26_41_0-P0012-015</t>
        </is>
      </c>
      <c r="B344" s="2" t="inlineStr">
        <is>
          <t>UFGS_26_41_00.pdf</t>
        </is>
      </c>
      <c r="C344" s="2" t="n">
        <v>12</v>
      </c>
      <c r="D344" s="2" t="n">
        <v>15</v>
      </c>
      <c r="E344" s="2" t="inlineStr">
        <is>
          <t>This may be by two down conductors or with a down conductor in combination with other metallic connections to ground.</t>
        </is>
      </c>
      <c r="F344" s="2" t="inlineStr">
        <is>
          <t>Nē</t>
        </is>
      </c>
      <c r="G344" s="2" t="n"/>
    </row>
    <row r="345">
      <c r="A345" s="2" t="inlineStr">
        <is>
          <t>UFGS_26_41_0-P0012-016</t>
        </is>
      </c>
      <c r="B345" s="2" t="inlineStr">
        <is>
          <t>UFGS_26_41_00.pdf</t>
        </is>
      </c>
      <c r="C345" s="2" t="n">
        <v>12</v>
      </c>
      <c r="D345" s="2" t="n">
        <v>16</v>
      </c>
      <c r="E345" s="2" t="inlineStr">
        <is>
          <t>Protect exposed down conductors from physical damage from ground level up to 1830 mm 6 feet.</t>
        </is>
      </c>
      <c r="F345" s="2" t="inlineStr">
        <is>
          <t>Nē</t>
        </is>
      </c>
      <c r="G345" s="2" t="n"/>
    </row>
    <row r="346">
      <c r="A346" s="2" t="inlineStr">
        <is>
          <t>UFGS_26_41_0-P0012-017</t>
        </is>
      </c>
      <c r="B346" s="2" t="inlineStr">
        <is>
          <t>UFGS_26_41_00.pdf</t>
        </is>
      </c>
      <c r="C346" s="2" t="n">
        <v>12</v>
      </c>
      <c r="D346" s="2" t="n">
        <v>17</v>
      </c>
      <c r="E346" s="2" t="inlineStr">
        <is>
          <t>If this protection is a metal conduit, both ends must be bonded to the down conductor passing through it.</t>
        </is>
      </c>
      <c r="F346" s="2" t="inlineStr">
        <is>
          <t>Nē</t>
        </is>
      </c>
      <c r="G346" s="2" t="n"/>
    </row>
    <row r="347">
      <c r="A347" s="2" t="inlineStr">
        <is>
          <t>UFGS_26_41_0-P0012-018</t>
        </is>
      </c>
      <c r="B347" s="2" t="inlineStr">
        <is>
          <t>UFGS_26_41_00.pdf</t>
        </is>
      </c>
      <c r="C347" s="2" t="n">
        <v>12</v>
      </c>
      <c r="D347" s="2" t="n">
        <v>18</v>
      </c>
      <c r="E347" s="2" t="inlineStr">
        <is>
          <t>For Schedule 80 conduit providing this protection, no bonding at both ends is necessary.</t>
        </is>
      </c>
      <c r="F347" s="2" t="inlineStr">
        <is>
          <t>Nē</t>
        </is>
      </c>
      <c r="G347" s="2" t="n"/>
    </row>
    <row r="348">
      <c r="A348" s="2" t="inlineStr">
        <is>
          <t>UFGS_26_41_0-P0012-019</t>
        </is>
      </c>
      <c r="B348" s="2" t="inlineStr">
        <is>
          <t>UFGS_26_41_00.pdf</t>
        </is>
      </c>
      <c r="C348" s="2" t="n">
        <v>12</v>
      </c>
      <c r="D348" s="2" t="n">
        <v>19</v>
      </c>
      <c r="E348" s="2" t="inlineStr">
        <is>
          <t>Schedule 80 conduit or metallic conduit may be painted to match the surrounding surface.</t>
        </is>
      </c>
      <c r="F348" s="2" t="inlineStr">
        <is>
          <t>Nē</t>
        </is>
      </c>
      <c r="G348" s="2" t="n"/>
    </row>
    <row r="349">
      <c r="A349" s="2" t="inlineStr">
        <is>
          <t>UFGS_26_41_0-P0012-020</t>
        </is>
      </c>
      <c r="B349" s="2" t="inlineStr">
        <is>
          <t>UFGS_26_41_00.pdf</t>
        </is>
      </c>
      <c r="C349" s="2" t="n">
        <v>12</v>
      </c>
      <c r="D349" s="2" t="n">
        <v>20</v>
      </c>
      <c r="E349" s="2" t="inlineStr">
        <is>
          <t>NO</t>
        </is>
      </c>
      <c r="F349" s="2" t="inlineStr">
        <is>
          <t>Nē</t>
        </is>
      </c>
      <c r="G349" s="2" t="n"/>
    </row>
    <row r="350">
      <c r="A350" s="2" t="inlineStr">
        <is>
          <t>UFGS_26_41_0-P0012-021</t>
        </is>
      </c>
      <c r="B350" s="2" t="inlineStr">
        <is>
          <t>UFGS_26_41_00.pdf</t>
        </is>
      </c>
      <c r="C350" s="2" t="n">
        <v>12</v>
      </c>
      <c r="D350" s="2" t="n">
        <v>21</v>
      </c>
      <c r="E350" s="2" t="inlineStr">
        <is>
          <t>CONNECTIONS OR FASTENERS OF ANY LIGHTNING PROTECTION SYSTEM MAY BE PAINTED</t>
        </is>
      </c>
      <c r="F350" s="2" t="inlineStr">
        <is>
          <t>Nē</t>
        </is>
      </c>
      <c r="G350" s="2" t="n"/>
    </row>
    <row r="351">
      <c r="A351" s="2" t="inlineStr">
        <is>
          <t>UFGS_26_41_0-P0012-022</t>
        </is>
      </c>
      <c r="B351" s="2" t="inlineStr">
        <is>
          <t>UFGS_26_41_00.pdf</t>
        </is>
      </c>
      <c r="C351" s="2" t="n">
        <v>12</v>
      </c>
      <c r="D351" s="2" t="n">
        <v>22</v>
      </c>
      <c r="E351" s="2" t="inlineStr">
        <is>
          <t>because this affects the ease with which lightning current can pass to ground.</t>
        </is>
      </c>
      <c r="F351" s="2" t="inlineStr">
        <is>
          <t>Nē</t>
        </is>
      </c>
      <c r="G351" s="2" t="n"/>
    </row>
    <row r="352">
      <c r="A352" s="2" t="inlineStr">
        <is>
          <t>UFGS_26_41_0-P0012-023</t>
        </is>
      </c>
      <c r="B352" s="2" t="inlineStr">
        <is>
          <t>UFGS_26_41_00.pdf</t>
        </is>
      </c>
      <c r="C352" s="2" t="n">
        <v>12</v>
      </c>
      <c r="D352" s="2" t="n">
        <v>23</v>
      </c>
      <c r="E352" s="2" t="inlineStr">
        <is>
          <t>3.1.5 Ground Connections</t>
        </is>
      </c>
      <c r="F352" s="2" t="inlineStr">
        <is>
          <t>Nē</t>
        </is>
      </c>
      <c r="G352" s="2" t="n"/>
    </row>
    <row r="353">
      <c r="A353" s="2" t="inlineStr">
        <is>
          <t>UFGS_26_41_0-P0012-024</t>
        </is>
      </c>
      <c r="B353" s="2" t="inlineStr">
        <is>
          <t>UFGS_26_41_00.pdf</t>
        </is>
      </c>
      <c r="C353" s="2" t="n">
        <v>12</v>
      </c>
      <c r="D353" s="2" t="n">
        <v>24</v>
      </c>
      <c r="E353" s="2" t="inlineStr">
        <is>
          <t>Attach each down conductor and ground ring electrode to a ground rod below grade by exothermic weld for all buried connections and exothermic weld or compression connectors for connections inside test wells.</t>
        </is>
      </c>
      <c r="F353" s="2" t="inlineStr">
        <is>
          <t>Nē</t>
        </is>
      </c>
      <c r="G353" s="2" t="n"/>
    </row>
    <row r="354">
      <c r="A354" s="2" t="inlineStr">
        <is>
          <t>UFGS_26_41_0-P0012-025</t>
        </is>
      </c>
      <c r="B354" s="2" t="inlineStr">
        <is>
          <t>UFGS_26_41_00.pdf</t>
        </is>
      </c>
      <c r="C354" s="2" t="n">
        <v>12</v>
      </c>
      <c r="D354" s="2" t="n">
        <v>25</v>
      </c>
      <c r="E354" s="2" t="inlineStr">
        <is>
          <t>Terminate all down conductors to a grounding electrode inside a test well.</t>
        </is>
      </c>
      <c r="F354" s="2" t="inlineStr">
        <is>
          <t>Nē</t>
        </is>
      </c>
      <c r="G354" s="2" t="n"/>
    </row>
    <row r="355">
      <c r="A355" s="2" t="inlineStr">
        <is>
          <t>UFGS_26_41_0-P0012-026</t>
        </is>
      </c>
      <c r="B355" s="2" t="inlineStr">
        <is>
          <t>UFGS_26_41_00.pdf</t>
        </is>
      </c>
      <c r="C355" s="2" t="n">
        <v>12</v>
      </c>
      <c r="D355" s="2" t="n">
        <v>26</v>
      </c>
      <c r="E355" s="2" t="inlineStr">
        <is>
          <t>Test connections and record resistances and continuity readings prior to covering.</t>
        </is>
      </c>
      <c r="F355" s="2" t="inlineStr">
        <is>
          <t>?</t>
        </is>
      </c>
      <c r="G355" s="2" t="n"/>
    </row>
    <row r="356">
      <c r="A356" s="2" t="inlineStr">
        <is>
          <t>UFGS_26_41_0-P0012-027</t>
        </is>
      </c>
      <c r="B356" s="2" t="inlineStr">
        <is>
          <t>UFGS_26_41_00.pdf</t>
        </is>
      </c>
      <c r="C356" s="2" t="n">
        <v>12</v>
      </c>
      <c r="D356" s="2" t="n">
        <v>27</v>
      </c>
      <c r="E356" s="2" t="inlineStr">
        <is>
          <t>Accessible connections above ground level and in test wells can be grounded with mechanical clamping, meeting installation requirements in NFPA 780.</t>
        </is>
      </c>
      <c r="F356" s="2" t="inlineStr">
        <is>
          <t>Nē</t>
        </is>
      </c>
      <c r="G356" s="2" t="n"/>
    </row>
    <row r="357">
      <c r="A357" s="2" t="inlineStr">
        <is>
          <t>UFGS_26_41_0-P0012-028</t>
        </is>
      </c>
      <c r="B357" s="2" t="inlineStr">
        <is>
          <t>UFGS_26_41_00.pdf</t>
        </is>
      </c>
      <c r="C357" s="2" t="n">
        <v>12</v>
      </c>
      <c r="D357" s="2" t="n">
        <v>28</v>
      </c>
      <c r="E357" s="2" t="inlineStr">
        <is>
          <t>SECTION 26 41 00 Page 12</t>
        </is>
      </c>
      <c r="F357" s="2" t="inlineStr">
        <is>
          <t>Nē</t>
        </is>
      </c>
      <c r="G357" s="2" t="n"/>
    </row>
  </sheetData>
  <autoFilter ref="A1:G357"/>
  <conditionalFormatting sqref="F2:F357">
    <cfRule type="expression" priority="1" dxfId="0">
      <formula>F2="Jā"</formula>
    </cfRule>
    <cfRule type="expression" priority="2" dxfId="1">
      <formula>F2="Nē"</formula>
    </cfRule>
    <cfRule type="expression" priority="3" dxfId="2">
      <formula>F2=""</formula>
    </cfRule>
  </conditionalFormatting>
  <dataValidations count="1">
    <dataValidation sqref="F2:F357" showDropDown="0" showInputMessage="0" showErrorMessage="0" allowBlank="1" errorTitle="SpecTakeoff" error="Izvēlies Jā, Nē vai ?" type="list">
      <formula1>"Jā,Nē,?"</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min="1" max="1"/>
    <col width="8" customWidth="1" min="2" max="2"/>
    <col width="10" customWidth="1" min="3" max="3"/>
    <col width="12" customWidth="1" min="4" max="4"/>
    <col width="10" customWidth="1" min="5" max="5"/>
  </cols>
  <sheetData>
    <row r="1">
      <c r="A1" s="4" t="inlineStr">
        <is>
          <t>Fails</t>
        </is>
      </c>
      <c r="B1" s="4" t="inlineStr">
        <is>
          <t>Lapa</t>
        </is>
      </c>
      <c r="C1" s="4" t="inlineStr">
        <is>
          <t>Rindas</t>
        </is>
      </c>
      <c r="D1" s="4" t="inlineStr">
        <is>
          <t>Atzīmētas</t>
        </is>
      </c>
      <c r="E1" s="4" t="inlineStr">
        <is>
          <t>Gatava?</t>
        </is>
      </c>
    </row>
    <row r="2">
      <c r="A2" t="inlineStr">
        <is>
          <t>UFGS_07_92_00.pdf</t>
        </is>
      </c>
      <c r="B2" t="n">
        <v>8</v>
      </c>
      <c r="C2">
        <f>COUNTIFS(Etalons!B:B,A2,Etalons!C:C,B2)</f>
        <v/>
      </c>
      <c r="D2">
        <f>COUNTIFS(Etalons!B:B,A2,Etalons!C:C,B2,Etalons!F:F,"&lt;&gt;")</f>
        <v/>
      </c>
      <c r="E2">
        <f>IF(D2=C2,"Jā","Nē")</f>
        <v/>
      </c>
    </row>
    <row r="3">
      <c r="A3" t="inlineStr">
        <is>
          <t>UFGS_07_92_00.pdf</t>
        </is>
      </c>
      <c r="B3" t="n">
        <v>14</v>
      </c>
      <c r="C3">
        <f>COUNTIFS(Etalons!B:B,A3,Etalons!C:C,B3)</f>
        <v/>
      </c>
      <c r="D3">
        <f>COUNTIFS(Etalons!B:B,A3,Etalons!C:C,B3,Etalons!F:F,"&lt;&gt;")</f>
        <v/>
      </c>
      <c r="E3">
        <f>IF(D3=C3,"Jā","Nē")</f>
        <v/>
      </c>
    </row>
    <row r="4">
      <c r="A4" t="inlineStr">
        <is>
          <t>UFGS_23_07_00.pdf</t>
        </is>
      </c>
      <c r="B4" t="n">
        <v>4</v>
      </c>
      <c r="C4">
        <f>COUNTIFS(Etalons!B:B,A4,Etalons!C:C,B4)</f>
        <v/>
      </c>
      <c r="D4">
        <f>COUNTIFS(Etalons!B:B,A4,Etalons!C:C,B4,Etalons!F:F,"&lt;&gt;")</f>
        <v/>
      </c>
      <c r="E4">
        <f>IF(D4=C4,"Jā","Nē")</f>
        <v/>
      </c>
    </row>
    <row r="5">
      <c r="A5" t="inlineStr">
        <is>
          <t>UFGS_23_07_00.pdf</t>
        </is>
      </c>
      <c r="B5" t="n">
        <v>6</v>
      </c>
      <c r="C5">
        <f>COUNTIFS(Etalons!B:B,A5,Etalons!C:C,B5)</f>
        <v/>
      </c>
      <c r="D5">
        <f>COUNTIFS(Etalons!B:B,A5,Etalons!C:C,B5,Etalons!F:F,"&lt;&gt;")</f>
        <v/>
      </c>
      <c r="E5">
        <f>IF(D5=C5,"Jā","Nē")</f>
        <v/>
      </c>
    </row>
    <row r="6">
      <c r="A6" t="inlineStr">
        <is>
          <t>UFGS_23_07_00.pdf</t>
        </is>
      </c>
      <c r="B6" t="n">
        <v>9</v>
      </c>
      <c r="C6">
        <f>COUNTIFS(Etalons!B:B,A6,Etalons!C:C,B6)</f>
        <v/>
      </c>
      <c r="D6">
        <f>COUNTIFS(Etalons!B:B,A6,Etalons!C:C,B6,Etalons!F:F,"&lt;&gt;")</f>
        <v/>
      </c>
      <c r="E6">
        <f>IF(D6=C6,"Jā","Nē")</f>
        <v/>
      </c>
    </row>
    <row r="7">
      <c r="A7" t="inlineStr">
        <is>
          <t>UFGS_23_07_00.pdf</t>
        </is>
      </c>
      <c r="B7" t="n">
        <v>21</v>
      </c>
      <c r="C7">
        <f>COUNTIFS(Etalons!B:B,A7,Etalons!C:C,B7)</f>
        <v/>
      </c>
      <c r="D7">
        <f>COUNTIFS(Etalons!B:B,A7,Etalons!C:C,B7,Etalons!F:F,"&lt;&gt;")</f>
        <v/>
      </c>
      <c r="E7">
        <f>IF(D7=C7,"Jā","Nē")</f>
        <v/>
      </c>
    </row>
    <row r="8">
      <c r="A8" t="inlineStr">
        <is>
          <t>UFGS_23_07_00.pdf</t>
        </is>
      </c>
      <c r="B8" t="n">
        <v>23</v>
      </c>
      <c r="C8">
        <f>COUNTIFS(Etalons!B:B,A8,Etalons!C:C,B8)</f>
        <v/>
      </c>
      <c r="D8">
        <f>COUNTIFS(Etalons!B:B,A8,Etalons!C:C,B8,Etalons!F:F,"&lt;&gt;")</f>
        <v/>
      </c>
      <c r="E8">
        <f>IF(D8=C8,"Jā","Nē")</f>
        <v/>
      </c>
    </row>
    <row r="9">
      <c r="A9" t="inlineStr">
        <is>
          <t>UFGS_23_07_00.pdf</t>
        </is>
      </c>
      <c r="B9" t="n">
        <v>25</v>
      </c>
      <c r="C9">
        <f>COUNTIFS(Etalons!B:B,A9,Etalons!C:C,B9)</f>
        <v/>
      </c>
      <c r="D9">
        <f>COUNTIFS(Etalons!B:B,A9,Etalons!C:C,B9,Etalons!F:F,"&lt;&gt;")</f>
        <v/>
      </c>
      <c r="E9">
        <f>IF(D9=C9,"Jā","Nē")</f>
        <v/>
      </c>
    </row>
    <row r="10">
      <c r="A10" t="inlineStr">
        <is>
          <t>UFGS_23_07_00.pdf</t>
        </is>
      </c>
      <c r="B10" t="n">
        <v>37</v>
      </c>
      <c r="C10">
        <f>COUNTIFS(Etalons!B:B,A10,Etalons!C:C,B10)</f>
        <v/>
      </c>
      <c r="D10">
        <f>COUNTIFS(Etalons!B:B,A10,Etalons!C:C,B10,Etalons!F:F,"&lt;&gt;")</f>
        <v/>
      </c>
      <c r="E10">
        <f>IF(D10=C10,"Jā","Nē")</f>
        <v/>
      </c>
    </row>
    <row r="11">
      <c r="A11" t="inlineStr">
        <is>
          <t>UFGS_23_07_00.pdf</t>
        </is>
      </c>
      <c r="B11" t="n">
        <v>47</v>
      </c>
      <c r="C11">
        <f>COUNTIFS(Etalons!B:B,A11,Etalons!C:C,B11)</f>
        <v/>
      </c>
      <c r="D11">
        <f>COUNTIFS(Etalons!B:B,A11,Etalons!C:C,B11,Etalons!F:F,"&lt;&gt;")</f>
        <v/>
      </c>
      <c r="E11">
        <f>IF(D11=C11,"Jā","Nē")</f>
        <v/>
      </c>
    </row>
    <row r="12">
      <c r="A12" t="inlineStr">
        <is>
          <t>UFGS_23_07_00.pdf</t>
        </is>
      </c>
      <c r="B12" t="n">
        <v>54</v>
      </c>
      <c r="C12">
        <f>COUNTIFS(Etalons!B:B,A12,Etalons!C:C,B12)</f>
        <v/>
      </c>
      <c r="D12">
        <f>COUNTIFS(Etalons!B:B,A12,Etalons!C:C,B12,Etalons!F:F,"&lt;&gt;")</f>
        <v/>
      </c>
      <c r="E12">
        <f>IF(D12=C12,"Jā","Nē")</f>
        <v/>
      </c>
    </row>
    <row r="13">
      <c r="A13" t="inlineStr">
        <is>
          <t>UFGS_23_07_00.pdf</t>
        </is>
      </c>
      <c r="B13" t="n">
        <v>58</v>
      </c>
      <c r="C13">
        <f>COUNTIFS(Etalons!B:B,A13,Etalons!C:C,B13)</f>
        <v/>
      </c>
      <c r="D13">
        <f>COUNTIFS(Etalons!B:B,A13,Etalons!C:C,B13,Etalons!F:F,"&lt;&gt;")</f>
        <v/>
      </c>
      <c r="E13">
        <f>IF(D13=C13,"Jā","Nē")</f>
        <v/>
      </c>
    </row>
    <row r="14">
      <c r="A14" t="inlineStr">
        <is>
          <t>UFGS_23_07_00.pdf</t>
        </is>
      </c>
      <c r="B14" t="n">
        <v>59</v>
      </c>
      <c r="C14">
        <f>COUNTIFS(Etalons!B:B,A14,Etalons!C:C,B14)</f>
        <v/>
      </c>
      <c r="D14">
        <f>COUNTIFS(Etalons!B:B,A14,Etalons!C:C,B14,Etalons!F:F,"&lt;&gt;")</f>
        <v/>
      </c>
      <c r="E14">
        <f>IF(D14=C14,"Jā","Nē")</f>
        <v/>
      </c>
    </row>
    <row r="15">
      <c r="A15" t="inlineStr">
        <is>
          <t>UFGS_26_41_00.pdf</t>
        </is>
      </c>
      <c r="B15" t="n">
        <v>4</v>
      </c>
      <c r="C15">
        <f>COUNTIFS(Etalons!B:B,A15,Etalons!C:C,B15)</f>
        <v/>
      </c>
      <c r="D15">
        <f>COUNTIFS(Etalons!B:B,A15,Etalons!C:C,B15,Etalons!F:F,"&lt;&gt;")</f>
        <v/>
      </c>
      <c r="E15">
        <f>IF(D15=C15,"Jā","Nē")</f>
        <v/>
      </c>
    </row>
    <row r="16">
      <c r="A16" t="inlineStr">
        <is>
          <t>UFGS_26_41_00.pdf</t>
        </is>
      </c>
      <c r="B16" t="n">
        <v>12</v>
      </c>
      <c r="C16">
        <f>COUNTIFS(Etalons!B:B,A16,Etalons!C:C,B16)</f>
        <v/>
      </c>
      <c r="D16">
        <f>COUNTIFS(Etalons!B:B,A16,Etalons!C:C,B16,Etalons!F:F,"&lt;&gt;")</f>
        <v/>
      </c>
      <c r="E16">
        <f>IF(D16=C16,"Jā","Nē")</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{"tool_version": "4.0.0", "seed": 31337, "sample": 15, "pages_spec": "", "show_predictions": false, "sources": [{"name": "UFGS_07_92_00.pdf", "path": "/tmp/claude-0/-home-user-workflows-starter-template/02873300-0aa4-5b5a-a8bb-9cae7051367b/scratchpad/holdout3/UFGS_07_92_00.pdf", "sha256": "3522be7a117d414fbe5354032ea544d5c20f4d044ecbadcb76d42949e6ac97d0"}, {"name": "UFGS_23_07_00.pdf", "path": "/tmp/claude-0/-home-user-workflows-starter-template/02873300-0aa4-5b5a-a8bb-9cae7051367b/scratchpad/holdout3/UFGS_23_07_00.pdf", "sha256": "77cce995c5b7368f2577ed5e6cafb30e876d75bf2a0574bacf2d09a5237007b1"}, {"name": "UFGS_26_41_00.pdf", "path": "/tmp/claude-0/-home-user-workflows-starter-template/02873300-0aa4-5b5a-a8bb-9cae7051367b/scratchpad/holdout3/UFGS_26_41_00.pdf", "sha256": "e8d6a9109f32f451d5a766f61ddf3aa6ee842057fe3874fd3d9bb089bf277351"}], "pages": [{"source": "UFGS_07_92_00.pdf", "page": 8}, {"source": "UFGS_07_92_00.pdf", "page": 14}, {"source": "UFGS_23_07_00.pdf", "page": 4}, {"source": "UFGS_23_07_00.pdf", "page": 6}, {"source": "UFGS_23_07_00.pdf", "page": 9}, {"source": "UFGS_23_07_00.pdf", "page": 21}, {"source": "UFGS_23_07_00.pdf", "page": 23}, {"source": "UFGS_23_07_00.pdf", "page": 25}, {"source": "UFGS_23_07_00.pdf", "page": 37}, {"source": "UFGS_23_07_00.pdf", "page": 47}, {"source": "UFGS_23_07_00.pdf", "page": 54}, {"source": "UFGS_23_07_00.pdf", "page": 58}, {"source": "UFGS_23_07_00.pdf", "page": 59}, {"source": "UFGS_26_41_00.pdf", "page": 4}, {"source": "UFGS_26_41_00.pdf", "page":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2026-10-16T02:16:54Z</dcterms:created>
  <dcterms:modified xmlns:dcterms="http://purl.org/dc/terms/" xmlns:xsi="http://www.w3.org/2001/XMLSchema-instance" xsi:type="dcterms:W3CDTF">2026-10-16T02:17:20Z</dcterms:modified>
</cp:coreProperties>
</file>