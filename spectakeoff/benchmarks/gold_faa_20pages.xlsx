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kcija" sheetId="1" state="visible" r:id="rId1"/>
    <sheet xmlns:r="http://schemas.openxmlformats.org/officeDocument/2006/relationships" name="Etalons" sheetId="2" state="visible" r:id="rId2"/>
    <sheet xmlns:r="http://schemas.openxmlformats.org/officeDocument/2006/relationships" name="Lapas" sheetId="3" state="visible" r:id="rId3"/>
    <sheet xmlns:r="http://schemas.openxmlformats.org/officeDocument/2006/relationships" name="_meta" sheetId="4" state="hidden" r:id="rId4"/>
  </sheets>
  <definedNames>
    <definedName name="_xlnm._FilterDatabase" localSheetId="1" hidden="1">'Etalons'!$A$1:$G$529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dxfs count="3">
    <dxf>
      <fill>
        <patternFill patternType="solid">
          <fgColor rgb="00D9EAD3"/>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6" customWidth="1" min="1" max="1"/>
    <col width="120" customWidth="1" min="2" max="2"/>
  </cols>
  <sheetData>
    <row r="1">
      <c r="A1" s="1" t="inlineStr">
        <is>
          <t>Tēma</t>
        </is>
      </c>
      <c r="B1" s="1" t="inlineStr">
        <is>
          <t>Apraksts</t>
        </is>
      </c>
    </row>
    <row r="2">
      <c r="A2" s="2" t="inlineStr">
        <is>
          <t>Mērķis</t>
        </is>
      </c>
      <c r="B2" s="2" t="inlineStr">
        <is>
          <t>Atzīmē KATRU rindu šajās lapās: vai tā ir nodošanas / closeout prasība? Tad `spectakeoff eval` izmērīs, ko programma atrod pareizi, ko kļūdaini un ko palaiž garām.</t>
        </is>
      </c>
    </row>
    <row r="3">
      <c r="A3" s="2" t="inlineStr">
        <is>
          <t>Kā aizpildīt</t>
        </is>
      </c>
      <c r="B3" s="2" t="inlineStr">
        <is>
          <t>Kolonnā F izvēlies Jā vai Nē (vai ? ja tiešām nav skaidrs - tādas rindas netiek vērtētas). Atver PDF norādītajā lapā, ja teksts nav saprotams bez konteksta.</t>
        </is>
      </c>
    </row>
    <row r="4">
      <c r="A4" s="2" t="inlineStr">
        <is>
          <t>Jā</t>
        </is>
      </c>
      <c r="B4" s="2" t="inlineStr">
        <is>
          <t>Teikums vai saraksta punkts uzliek darbuzņēmējam pienākumu NODOT vai IESNIEGT kaut ko nodošanai/closeout: garantija, O&amp;M rokasgrāmatas, izpilddokumentācija (as-built / record drawings), rezerves daļas, papildu materiāli (attic stock), speciālie instrumenti, apmācība, testu atskaites, sertifikāti un atbilstības apliecinājumi, iesniegumu saraksta punkti (piem. UFGS SD-06/07/09/10/11).</t>
        </is>
      </c>
    </row>
    <row r="5">
      <c r="A5" s="2" t="inlineStr">
        <is>
          <t>Nē</t>
        </is>
      </c>
      <c r="B5" s="2" t="inlineStr">
        <is>
          <t>Būvdarbu metodes, materiālu īpašības, juridiski skaidrojumi ('shall not relieve...'), redaktora piezīmes (NOTE:, 'The Engineer shall...'), virsraksti, lapu galvenes, atsauces uz citām sadaļām, uzstādīšana 'saskaņā ar ražotāja instrukcijām'.</t>
        </is>
      </c>
    </row>
    <row r="6">
      <c r="A6" s="2" t="inlineStr">
        <is>
          <t>Piemērs Jā</t>
        </is>
      </c>
      <c r="B6" s="2" t="inlineStr">
        <is>
          <t>Provide two (2) copies of all manufacturers warranties specified for materials.</t>
        </is>
      </c>
    </row>
    <row r="7">
      <c r="A7" s="2" t="inlineStr">
        <is>
          <t>Piemērs Jā</t>
        </is>
      </c>
      <c r="B7" s="2" t="inlineStr">
        <is>
          <t>Operation and Maintenance Manuals; G, [_____]   (punkts zem SD-10)</t>
        </is>
      </c>
    </row>
    <row r="8">
      <c r="A8" s="2" t="inlineStr">
        <is>
          <t>Piemērs Nē</t>
        </is>
      </c>
      <c r="B8" s="2" t="inlineStr">
        <is>
          <t>Air-entraining admixtures shall meet the requirements of ASTM C260.</t>
        </is>
      </c>
    </row>
    <row r="9">
      <c r="A9" s="2" t="inlineStr">
        <is>
          <t>Piemērs Nē</t>
        </is>
      </c>
      <c r="B9" s="2" t="inlineStr">
        <is>
          <t>Manufacturer's certifications shall not relieve the Contractor of the responsibility...</t>
        </is>
      </c>
    </row>
    <row r="10">
      <c r="A10" s="2" t="inlineStr">
        <is>
          <t>Svarīgi</t>
        </is>
      </c>
      <c r="B10" s="2" t="inlineStr">
        <is>
          <t>Neskaties, ko atrada programma, pirms neesi atzīmējis pats - citādi mērījums būs neobjektīvs. Ja failā ir kolonna 'Programma atrada', to var paslēpt.</t>
        </is>
      </c>
    </row>
    <row r="11">
      <c r="A11" s="2" t="inlineStr">
        <is>
          <t>Pēc tam</t>
        </is>
      </c>
      <c r="B11" s="2" t="inlineStr">
        <is>
          <t>Saglabā failu un palaid:  spectakeoff eval etalons.xlsx   (programma pati atkārtoti apstrādās tos pašus PDF un salīdzinās). Lapas, kur kaut viena rinda nav atzīmēta, netiek vērtētas.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9"/>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7" customWidth="1" min="3" max="3"/>
    <col width="8" customWidth="1" min="4" max="4"/>
    <col width="90" customWidth="1" min="5" max="5"/>
    <col width="16" customWidth="1" min="6" max="6"/>
    <col width="30" customWidth="1" min="7" max="7"/>
    <col width="14" customWidth="1" min="8" max="8"/>
  </cols>
  <sheetData>
    <row r="1">
      <c r="A1" s="3" t="inlineStr">
        <is>
          <t>ID</t>
        </is>
      </c>
      <c r="B1" s="3" t="inlineStr">
        <is>
          <t>Fails</t>
        </is>
      </c>
      <c r="C1" s="3" t="inlineStr">
        <is>
          <t>Lapa</t>
        </is>
      </c>
      <c r="D1" s="3" t="inlineStr">
        <is>
          <t>Nr. lapā</t>
        </is>
      </c>
      <c r="E1" s="3" t="inlineStr">
        <is>
          <t>Teksts (oriģināls)</t>
        </is>
      </c>
      <c r="F1" s="3" t="inlineStr">
        <is>
          <t>Prasība? (Jā/Nē)</t>
        </is>
      </c>
      <c r="G1" s="3" t="inlineStr">
        <is>
          <t>Piezīme</t>
        </is>
      </c>
    </row>
    <row r="2">
      <c r="A2" s="2" t="inlineStr">
        <is>
          <t>150-5370-10H-P0003-001</t>
        </is>
      </c>
      <c r="B2" s="2" t="inlineStr">
        <is>
          <t>150-5370-10H.pdf</t>
        </is>
      </c>
      <c r="C2" s="2" t="n">
        <v>3</v>
      </c>
      <c r="D2" s="2" t="n">
        <v>1</v>
      </c>
      <c r="E2" s="2" t="inlineStr">
        <is>
          <t>12/21/2018 AC 150/5370-10H</t>
        </is>
      </c>
      <c r="F2" s="2" t="inlineStr">
        <is>
          <t>Nē</t>
        </is>
      </c>
      <c r="G2" s="2" t="n"/>
    </row>
    <row r="3">
      <c r="A3" s="2" t="inlineStr">
        <is>
          <t>150-5370-10H-P0003-002</t>
        </is>
      </c>
      <c r="B3" s="2" t="inlineStr">
        <is>
          <t>150-5370-10H.pdf</t>
        </is>
      </c>
      <c r="C3" s="2" t="n">
        <v>3</v>
      </c>
      <c r="D3" s="2" t="n">
        <v>2</v>
      </c>
      <c r="E3" s="2" t="inlineStr">
        <is>
          <t>4. Section 10: Added definitions for Apron, Certificate of Analysis (COA), Certificate of Compliance (COC), Control Strip, Modification of Standards (MOS);</t>
        </is>
      </c>
      <c r="F3" s="2" t="inlineStr">
        <is>
          <t>Nē</t>
        </is>
      </c>
      <c r="G3" s="2" t="n"/>
    </row>
    <row r="4">
      <c r="A4" s="2" t="inlineStr">
        <is>
          <t>150-5370-10H-P0003-003</t>
        </is>
      </c>
      <c r="B4" s="2" t="inlineStr">
        <is>
          <t>150-5370-10H.pdf</t>
        </is>
      </c>
      <c r="C4" s="2" t="n">
        <v>3</v>
      </c>
      <c r="D4" s="2" t="n">
        <v>3</v>
      </c>
      <c r="E4" s="2" t="inlineStr">
        <is>
          <t>Quality Assurance (QA), Quality Control (QC), Quality Assurance (QA) Laboratory, Resident Project Representative (RPR);</t>
        </is>
      </c>
      <c r="F4" s="2" t="inlineStr">
        <is>
          <t>Nē</t>
        </is>
      </c>
      <c r="G4" s="2" t="n"/>
    </row>
    <row r="5">
      <c r="A5" s="2" t="inlineStr">
        <is>
          <t>150-5370-10H-P0003-004</t>
        </is>
      </c>
      <c r="B5" s="2" t="inlineStr">
        <is>
          <t>150-5370-10H.pdf</t>
        </is>
      </c>
      <c r="C5" s="2" t="n">
        <v>3</v>
      </c>
      <c r="D5" s="2" t="n">
        <v>4</v>
      </c>
      <c r="E5" s="2" t="inlineStr">
        <is>
          <t>Runway Safety Area (RSA), Safety Plan Compliance Document (SPCD), Taxilane, and Taxiway/Taxilane Safety Area (TSA).</t>
        </is>
      </c>
      <c r="F5" s="2" t="inlineStr">
        <is>
          <t>Nē</t>
        </is>
      </c>
      <c r="G5" s="2" t="n"/>
    </row>
    <row r="6">
      <c r="A6" s="2" t="inlineStr">
        <is>
          <t>150-5370-10H-P0003-005</t>
        </is>
      </c>
      <c r="B6" s="2" t="inlineStr">
        <is>
          <t>150-5370-10H.pdf</t>
        </is>
      </c>
      <c r="C6" s="2" t="n">
        <v>3</v>
      </c>
      <c r="D6" s="2" t="n">
        <v>5</v>
      </c>
      <c r="E6" s="2" t="inlineStr">
        <is>
          <t>Revised definitions for Change Order, Contract, Force Account, “Contractor’s laboratory” to “Contractor’s Quality Control Facilities;” “Laboratory” to “Quality Assurance (QA) Laboratory;” “Inspector” to “Quality Assurance (QA) Inspector,” “Pavement” to “Pavement Structure;” and Supplemental Agreement.</t>
        </is>
      </c>
      <c r="F6" s="2" t="inlineStr">
        <is>
          <t>Nē</t>
        </is>
      </c>
      <c r="G6" s="2" t="n"/>
    </row>
    <row r="7">
      <c r="A7" s="2" t="inlineStr">
        <is>
          <t>150-5370-10H-P0003-006</t>
        </is>
      </c>
      <c r="B7" s="2" t="inlineStr">
        <is>
          <t>150-5370-10H.pdf</t>
        </is>
      </c>
      <c r="C7" s="2" t="n">
        <v>3</v>
      </c>
      <c r="D7" s="2" t="n">
        <v>6</v>
      </c>
      <c r="E7" s="2" t="inlineStr">
        <is>
          <t>Added “Owner Defined Terms” to allow addition of any project specific terms that may be needed.</t>
        </is>
      </c>
      <c r="F7" s="2" t="inlineStr">
        <is>
          <t>Nē</t>
        </is>
      </c>
      <c r="G7" s="2" t="n"/>
    </row>
    <row r="8">
      <c r="A8" s="2" t="inlineStr">
        <is>
          <t>150-5370-10H-P0003-007</t>
        </is>
      </c>
      <c r="B8" s="2" t="inlineStr">
        <is>
          <t>150-5370-10H.pdf</t>
        </is>
      </c>
      <c r="C8" s="2" t="n">
        <v>3</v>
      </c>
      <c r="D8" s="2" t="n">
        <v>7</v>
      </c>
      <c r="E8" s="2" t="inlineStr">
        <is>
          <t>5. Section 50: Removed outdated guidance on construction layout and stakes.</t>
        </is>
      </c>
      <c r="F8" s="2" t="inlineStr">
        <is>
          <t>Nē</t>
        </is>
      </c>
      <c r="G8" s="2" t="n"/>
    </row>
    <row r="9">
      <c r="A9" s="2" t="inlineStr">
        <is>
          <t>150-5370-10H-P0003-008</t>
        </is>
      </c>
      <c r="B9" s="2" t="inlineStr">
        <is>
          <t>150-5370-10H.pdf</t>
        </is>
      </c>
      <c r="C9" s="2" t="n">
        <v>3</v>
      </c>
      <c r="D9" s="2" t="n">
        <v>8</v>
      </c>
      <c r="E9" s="2" t="inlineStr">
        <is>
          <t>6. Section 60: Revised guidance for RPR’s field office.</t>
        </is>
      </c>
      <c r="F9" s="2" t="inlineStr">
        <is>
          <t>Nē</t>
        </is>
      </c>
      <c r="G9" s="2" t="n"/>
    </row>
    <row r="10">
      <c r="A10" s="2" t="inlineStr">
        <is>
          <t>150-5370-10H-P0003-009</t>
        </is>
      </c>
      <c r="B10" s="2" t="inlineStr">
        <is>
          <t>150-5370-10H.pdf</t>
        </is>
      </c>
      <c r="C10" s="2" t="n">
        <v>3</v>
      </c>
      <c r="D10" s="2" t="n">
        <v>9</v>
      </c>
      <c r="E10" s="2" t="inlineStr">
        <is>
          <t>7. Section 70: Revised 70-05 Federal Participation;</t>
        </is>
      </c>
      <c r="F10" s="2" t="inlineStr">
        <is>
          <t>Nē</t>
        </is>
      </c>
      <c r="G10" s="2" t="n"/>
    </row>
    <row r="11">
      <c r="A11" s="2" t="inlineStr">
        <is>
          <t>150-5370-10H-P0003-010</t>
        </is>
      </c>
      <c r="B11" s="2" t="inlineStr">
        <is>
          <t>150-5370-10H.pdf</t>
        </is>
      </c>
      <c r="C11" s="2" t="n">
        <v>3</v>
      </c>
      <c r="D11" s="2" t="n">
        <v>10</v>
      </c>
      <c r="E11" s="2" t="inlineStr">
        <is>
          <t>Revised 70-06 Sanitary, health, and safety provisions;</t>
        </is>
      </c>
      <c r="F11" s="2" t="inlineStr">
        <is>
          <t>Nē</t>
        </is>
      </c>
      <c r="G11" s="2" t="n"/>
    </row>
    <row r="12">
      <c r="A12" s="2" t="inlineStr">
        <is>
          <t>150-5370-10H-P0003-011</t>
        </is>
      </c>
      <c r="B12" s="2" t="inlineStr">
        <is>
          <t>150-5370-10H.pdf</t>
        </is>
      </c>
      <c r="C12" s="2" t="n">
        <v>3</v>
      </c>
      <c r="D12" s="2" t="n">
        <v>11</v>
      </c>
      <c r="E12" s="2" t="inlineStr">
        <is>
          <t>Retitled and revised 70-08 as “Construction Safety and Phasing Plan (CSPP).”</t>
        </is>
      </c>
      <c r="F12" s="2" t="inlineStr">
        <is>
          <t>Nē</t>
        </is>
      </c>
      <c r="G12" s="2" t="n"/>
    </row>
    <row r="13">
      <c r="A13" s="2" t="inlineStr">
        <is>
          <t>150-5370-10H-P0003-012</t>
        </is>
      </c>
      <c r="B13" s="2" t="inlineStr">
        <is>
          <t>150-5370-10H.pdf</t>
        </is>
      </c>
      <c r="C13" s="2" t="n">
        <v>3</v>
      </c>
      <c r="D13" s="2" t="n">
        <v>12</v>
      </c>
      <c r="E13" s="2" t="inlineStr">
        <is>
          <t>8. Moved Section 100 Contractor Quality Control Program (CQCP) out of the General Provisions and re-number as “Item C-100.” Clarified requirements of the CQCP; added elements that must be addressed for pavement projects; added requirements for Contractor QC testing facilities for pavement projects (P-401, P-403, P-501, and P-404; and added C- 100-13 Basis of measurement and payment paragraph to allow for lump sum payment of CQCP with schedule of partial payments during contract.</t>
        </is>
      </c>
      <c r="F13" s="2" t="inlineStr">
        <is>
          <t>Nē</t>
        </is>
      </c>
      <c r="G13" s="2" t="n"/>
    </row>
    <row r="14">
      <c r="A14" s="2" t="inlineStr">
        <is>
          <t>150-5370-10H-P0003-013</t>
        </is>
      </c>
      <c r="B14" s="2" t="inlineStr">
        <is>
          <t>150-5370-10H.pdf</t>
        </is>
      </c>
      <c r="C14" s="2" t="n">
        <v>3</v>
      </c>
      <c r="D14" s="2" t="n">
        <v>13</v>
      </c>
      <c r="E14" s="2" t="inlineStr">
        <is>
          <t>9. Moved Section 105 Mobilization out of the General Provisions and re-numbered as “Item</t>
        </is>
      </c>
      <c r="F14" s="2" t="inlineStr">
        <is>
          <t>Nē</t>
        </is>
      </c>
      <c r="G14" s="2" t="n"/>
    </row>
    <row r="15">
      <c r="A15" s="2" t="inlineStr">
        <is>
          <t>150-5370-10H-P0003-014</t>
        </is>
      </c>
      <c r="B15" s="2" t="inlineStr">
        <is>
          <t>150-5370-10H.pdf</t>
        </is>
      </c>
      <c r="C15" s="2" t="n">
        <v>3</v>
      </c>
      <c r="D15" s="2" t="n">
        <v>14</v>
      </c>
      <c r="E15" s="2" t="inlineStr">
        <is>
          <t>C-105.”</t>
        </is>
      </c>
      <c r="F15" s="2" t="inlineStr">
        <is>
          <t>Nē</t>
        </is>
      </c>
      <c r="G15" s="2" t="n"/>
    </row>
    <row r="16">
      <c r="A16" s="2" t="inlineStr">
        <is>
          <t>150-5370-10H-P0003-015</t>
        </is>
      </c>
      <c r="B16" s="2" t="inlineStr">
        <is>
          <t>150-5370-10H.pdf</t>
        </is>
      </c>
      <c r="C16" s="2" t="n">
        <v>3</v>
      </c>
      <c r="D16" s="2" t="n">
        <v>15</v>
      </c>
      <c r="E16" s="2" t="inlineStr">
        <is>
          <t>10. Moved Section 110 Method of Estimating Percentage of Materials Within Specification Limits (PWL) out of the General Provisions.</t>
        </is>
      </c>
      <c r="F16" s="2" t="inlineStr">
        <is>
          <t>Nē</t>
        </is>
      </c>
      <c r="G16" s="2" t="n"/>
    </row>
    <row r="17">
      <c r="A17" s="2" t="inlineStr">
        <is>
          <t>150-5370-10H-P0003-016</t>
        </is>
      </c>
      <c r="B17" s="2" t="inlineStr">
        <is>
          <t>150-5370-10H.pdf</t>
        </is>
      </c>
      <c r="C17" s="2" t="n">
        <v>3</v>
      </c>
      <c r="D17" s="2" t="n">
        <v>16</v>
      </c>
      <c r="E17" s="2" t="inlineStr">
        <is>
          <t>Renumbered as “Item C-110.” Allows the Engineer to delete Item C-110 when P-401, P-501 and/or P-404 are not in a project.</t>
        </is>
      </c>
      <c r="F17" s="2" t="inlineStr">
        <is>
          <t>Nē</t>
        </is>
      </c>
      <c r="G17" s="2" t="n"/>
    </row>
    <row r="18">
      <c r="A18" s="2" t="inlineStr">
        <is>
          <t>150-5370-10H-P0003-017</t>
        </is>
      </c>
      <c r="B18" s="2" t="inlineStr">
        <is>
          <t>150-5370-10H.pdf</t>
        </is>
      </c>
      <c r="C18" s="2" t="n">
        <v>3</v>
      </c>
      <c r="D18" s="2" t="n">
        <v>17</v>
      </c>
      <c r="E18" s="2" t="inlineStr">
        <is>
          <t>11. Re-titled Item P-101 Surface Preparation to “Item P-101 Preparation/Removal of Existing Pavements” to better reflect purpose of specification.</t>
        </is>
      </c>
      <c r="F18" s="2" t="inlineStr">
        <is>
          <t>Nē</t>
        </is>
      </c>
      <c r="G18" s="2" t="n"/>
    </row>
    <row r="19">
      <c r="A19" s="2" t="inlineStr">
        <is>
          <t>150-5370-10H-P0003-018</t>
        </is>
      </c>
      <c r="B19" s="2" t="inlineStr">
        <is>
          <t>150-5370-10H.pdf</t>
        </is>
      </c>
      <c r="C19" s="2" t="n">
        <v>3</v>
      </c>
      <c r="D19" s="2" t="n">
        <v>18</v>
      </c>
      <c r="E19" s="2" t="inlineStr">
        <is>
          <t>12. Item P-156, Temporary Air and Water Pollution, Soil Erosion, and Siltation Control has been renumber as “Item C-102, Temporary Air and Water Pollution, Soil Erosion, and Siltation Control.”</t>
        </is>
      </c>
      <c r="F19" s="2" t="inlineStr">
        <is>
          <t>Nē</t>
        </is>
      </c>
      <c r="G19" s="2" t="n"/>
    </row>
    <row r="20">
      <c r="A20" s="2" t="inlineStr">
        <is>
          <t>150-5370-10H-P0003-019</t>
        </is>
      </c>
      <c r="B20" s="2" t="inlineStr">
        <is>
          <t>150-5370-10H.pdf</t>
        </is>
      </c>
      <c r="C20" s="2" t="n">
        <v>3</v>
      </c>
      <c r="D20" s="2" t="n">
        <v>19</v>
      </c>
      <c r="E20" s="2" t="inlineStr">
        <is>
          <t>13. Add new Item P-156, Cement Treated Subgrade.</t>
        </is>
      </c>
      <c r="F20" s="2" t="inlineStr">
        <is>
          <t>Nē</t>
        </is>
      </c>
      <c r="G20" s="2" t="n"/>
    </row>
    <row r="21">
      <c r="A21" s="2" t="inlineStr">
        <is>
          <t>150-5370-10H-P0003-020</t>
        </is>
      </c>
      <c r="B21" s="2" t="inlineStr">
        <is>
          <t>150-5370-10H.pdf</t>
        </is>
      </c>
      <c r="C21" s="2" t="n">
        <v>3</v>
      </c>
      <c r="D21" s="2" t="n">
        <v>20</v>
      </c>
      <c r="E21" s="2" t="inlineStr">
        <is>
          <t>Added a new specification for cement treated subgrade.</t>
        </is>
      </c>
      <c r="F21" s="2" t="inlineStr">
        <is>
          <t>Nē</t>
        </is>
      </c>
      <c r="G21" s="2" t="n"/>
    </row>
    <row r="22">
      <c r="A22" s="2" t="inlineStr">
        <is>
          <t>150-5370-10H-P0003-021</t>
        </is>
      </c>
      <c r="B22" s="2" t="inlineStr">
        <is>
          <t>150-5370-10H.pdf</t>
        </is>
      </c>
      <c r="C22" s="2" t="n">
        <v>3</v>
      </c>
      <c r="D22" s="2" t="n">
        <v>21</v>
      </c>
      <c r="E22" s="2" t="inlineStr">
        <is>
          <t>14. Item P-157 [ Cement ][ Lime ] Kiln Dust Treated Subgrade Added Lime Kiln Dust.</t>
        </is>
      </c>
      <c r="F22" s="2" t="inlineStr">
        <is>
          <t>Nē</t>
        </is>
      </c>
      <c r="G22" s="2" t="n"/>
    </row>
    <row r="23">
      <c r="A23" s="2" t="inlineStr">
        <is>
          <t>150-5370-10H-P0003-022</t>
        </is>
      </c>
      <c r="B23" s="2" t="inlineStr">
        <is>
          <t>150-5370-10H.pdf</t>
        </is>
      </c>
      <c r="C23" s="2" t="n">
        <v>3</v>
      </c>
      <c r="D23" s="2" t="n">
        <v>22</v>
      </c>
      <c r="E23" s="2" t="inlineStr">
        <is>
          <t>This specification now allows either Lime Kiln Dust or Cement Kiln Dust.</t>
        </is>
      </c>
      <c r="F23" s="2" t="inlineStr">
        <is>
          <t>Nē</t>
        </is>
      </c>
      <c r="G23" s="2" t="n"/>
    </row>
    <row r="24">
      <c r="A24" s="2" t="inlineStr">
        <is>
          <t>150-5370-10H-P0003-023</t>
        </is>
      </c>
      <c r="B24" s="2" t="inlineStr">
        <is>
          <t>150-5370-10H.pdf</t>
        </is>
      </c>
      <c r="C24" s="2" t="n">
        <v>3</v>
      </c>
      <c r="D24" s="2" t="n">
        <v>23</v>
      </c>
      <c r="E24" s="2" t="inlineStr">
        <is>
          <t>15. Numerous changes within the base course specifications (P-208, P-209, P-210, P-211, P- 212, P-217, and P-219) including standardizing format for materials, construction, and materials; placing material properties in table format; and adding guidance for separation fabric.</t>
        </is>
      </c>
      <c r="F24" s="2" t="inlineStr">
        <is>
          <t>Nē</t>
        </is>
      </c>
      <c r="G24" s="2" t="n"/>
    </row>
    <row r="25">
      <c r="A25" s="2" t="inlineStr">
        <is>
          <t>150-5370-10H-P0003-024</t>
        </is>
      </c>
      <c r="B25" s="2" t="inlineStr">
        <is>
          <t>150-5370-10H.pdf</t>
        </is>
      </c>
      <c r="C25" s="2" t="n">
        <v>3</v>
      </c>
      <c r="D25" s="2" t="n">
        <v>24</v>
      </c>
      <c r="E25" s="2" t="inlineStr">
        <is>
          <t>Added requirement for control strip to demonstrate materials, means and methods prior to full production.</t>
        </is>
      </c>
      <c r="F25" s="2" t="inlineStr">
        <is>
          <t>Nē</t>
        </is>
      </c>
      <c r="G25" s="2" t="n"/>
    </row>
    <row r="26">
      <c r="A26" s="2" t="inlineStr">
        <is>
          <t>150-5370-10H-P0003-025</t>
        </is>
      </c>
      <c r="B26" s="2" t="inlineStr">
        <is>
          <t>150-5370-10H.pdf</t>
        </is>
      </c>
      <c r="C26" s="2" t="n">
        <v>3</v>
      </c>
      <c r="D26" s="2" t="n">
        <v>25</v>
      </c>
      <c r="E26" s="2" t="inlineStr">
        <is>
          <t>16. Added new P-207 In-place Full Depth Reclamation (FDR) Recycled Asphalt Aggregate Base Course.</t>
        </is>
      </c>
      <c r="F26" s="2" t="inlineStr">
        <is>
          <t>Nē</t>
        </is>
      </c>
      <c r="G26" s="2" t="n"/>
    </row>
    <row r="27">
      <c r="A27" s="2" t="inlineStr">
        <is>
          <t>150-5370-10H-P0003-026</t>
        </is>
      </c>
      <c r="B27" s="2" t="inlineStr">
        <is>
          <t>150-5370-10H.pdf</t>
        </is>
      </c>
      <c r="C27" s="2" t="n">
        <v>3</v>
      </c>
      <c r="D27" s="2" t="n">
        <v>26</v>
      </c>
      <c r="E27" s="2" t="inlineStr">
        <is>
          <t>17. Item P-301 Soil-Cement Treated Soil-Aggregate Subbase Course has been renumbered and renamed as Item P-220 Cement Treated Soil Base Course and moved under Part 4 Base Courses.</t>
        </is>
      </c>
      <c r="F27" s="2" t="inlineStr">
        <is>
          <t>Nē</t>
        </is>
      </c>
      <c r="G27" s="2" t="n"/>
    </row>
    <row r="28">
      <c r="A28" s="2" t="inlineStr">
        <is>
          <t>150-5370-10H-P0003-027</t>
        </is>
      </c>
      <c r="B28" s="2" t="inlineStr">
        <is>
          <t>150-5370-10H.pdf</t>
        </is>
      </c>
      <c r="C28" s="2" t="n">
        <v>3</v>
      </c>
      <c r="D28" s="2" t="n">
        <v>27</v>
      </c>
      <c r="E28" s="2" t="inlineStr">
        <is>
          <t>iii</t>
        </is>
      </c>
      <c r="F28" s="2" t="inlineStr">
        <is>
          <t>Nē</t>
        </is>
      </c>
      <c r="G28" s="2" t="n"/>
    </row>
    <row r="29">
      <c r="A29" s="2" t="inlineStr">
        <is>
          <t>150-5370-10H-P0083-001</t>
        </is>
      </c>
      <c r="B29" s="2" t="inlineStr">
        <is>
          <t>150-5370-10H.pdf</t>
        </is>
      </c>
      <c r="C29" s="2" t="n">
        <v>83</v>
      </c>
      <c r="D29" s="2" t="n">
        <v>1</v>
      </c>
      <c r="E29" s="2" t="inlineStr">
        <is>
          <t>12/21/2018 AC 150/5370-10H</t>
        </is>
      </c>
      <c r="F29" s="2" t="inlineStr">
        <is>
          <t>Nē</t>
        </is>
      </c>
      <c r="G29" s="2" t="n"/>
    </row>
    <row r="30">
      <c r="A30" s="2" t="inlineStr">
        <is>
          <t>150-5370-10H-P0083-002</t>
        </is>
      </c>
      <c r="B30" s="2" t="inlineStr">
        <is>
          <t>150-5370-10H.pdf</t>
        </is>
      </c>
      <c r="C30" s="2" t="n">
        <v>83</v>
      </c>
      <c r="D30" s="2" t="n">
        <v>2</v>
      </c>
      <c r="E30" s="2" t="inlineStr">
        <is>
          <t>the accepted schedule.</t>
        </is>
      </c>
      <c r="F30" s="2" t="inlineStr">
        <is>
          <t>Nē</t>
        </is>
      </c>
      <c r="G30" s="2" t="n"/>
    </row>
    <row r="31">
      <c r="A31" s="2" t="inlineStr">
        <is>
          <t>150-5370-10H-P0083-003</t>
        </is>
      </c>
      <c r="B31" s="2" t="inlineStr">
        <is>
          <t>150-5370-10H.pdf</t>
        </is>
      </c>
      <c r="C31" s="2" t="n">
        <v>83</v>
      </c>
      <c r="D31" s="2" t="n">
        <v>3</v>
      </c>
      <c r="E31" s="2" t="inlineStr">
        <is>
          <t>If seasonal limitations make such coordination unrealistic, temporary erosion control measures shall be taken immediately to the extent feasible and justified as directed by the RPR.</t>
        </is>
      </c>
      <c r="F31" s="2" t="inlineStr">
        <is>
          <t>Nē</t>
        </is>
      </c>
      <c r="G31" s="2" t="n"/>
    </row>
    <row r="32">
      <c r="A32" s="2" t="inlineStr">
        <is>
          <t>150-5370-10H-P0083-004</t>
        </is>
      </c>
      <c r="B32" s="2" t="inlineStr">
        <is>
          <t>150-5370-10H.pdf</t>
        </is>
      </c>
      <c r="C32" s="2" t="n">
        <v>83</v>
      </c>
      <c r="D32" s="2" t="n">
        <v>4</v>
      </c>
      <c r="E32" s="2" t="inlineStr">
        <is>
          <t>The Contractor shall provide immediate permanent or temporary pollution control measures to minimize contamination of adjacent streams or other watercourses, lakes, ponds, or other areas of water impoundment as directed by the RPR.</t>
        </is>
      </c>
      <c r="F32" s="2" t="inlineStr">
        <is>
          <t>Nē</t>
        </is>
      </c>
      <c r="G32" s="2" t="n"/>
    </row>
    <row r="33">
      <c r="A33" s="2" t="inlineStr">
        <is>
          <t>150-5370-10H-P0083-005</t>
        </is>
      </c>
      <c r="B33" s="2" t="inlineStr">
        <is>
          <t>150-5370-10H.pdf</t>
        </is>
      </c>
      <c r="C33" s="2" t="n">
        <v>83</v>
      </c>
      <c r="D33" s="2" t="n">
        <v>5</v>
      </c>
      <c r="E33" s="2" t="inlineStr">
        <is>
          <t>If temporary erosion and pollution control measures are required due to the Contractor’s negligence, carelessness, or failure to install permanent controls as a part of the work as scheduled or directed by the RPR, the work shall be performed by the Contractor and the cost shall be incidental to this item.</t>
        </is>
      </c>
      <c r="F33" s="2" t="inlineStr">
        <is>
          <t>Nē</t>
        </is>
      </c>
      <c r="G33" s="2" t="n"/>
    </row>
    <row r="34">
      <c r="A34" s="2" t="inlineStr">
        <is>
          <t>150-5370-10H-P0083-006</t>
        </is>
      </c>
      <c r="B34" s="2" t="inlineStr">
        <is>
          <t>150-5370-10H.pdf</t>
        </is>
      </c>
      <c r="C34" s="2" t="n">
        <v>83</v>
      </c>
      <c r="D34" s="2" t="n">
        <v>6</v>
      </c>
      <c r="E34" s="2" t="inlineStr">
        <is>
          <t>The RPR may increase or decrease the area of erodible earth material that can be exposed at any time based on an analysis of project conditions.</t>
        </is>
      </c>
      <c r="F34" s="2" t="inlineStr">
        <is>
          <t>Nē</t>
        </is>
      </c>
      <c r="G34" s="2" t="n"/>
    </row>
    <row r="35">
      <c r="A35" s="2" t="inlineStr">
        <is>
          <t>150-5370-10H-P0083-007</t>
        </is>
      </c>
      <c r="B35" s="2" t="inlineStr">
        <is>
          <t>150-5370-10H.pdf</t>
        </is>
      </c>
      <c r="C35" s="2" t="n">
        <v>83</v>
      </c>
      <c r="D35" s="2" t="n">
        <v>7</v>
      </c>
      <c r="E35" s="2" t="inlineStr">
        <is>
          <t>The erosion control features installed by the Contractor shall be maintained by the Contractor during the construction period.</t>
        </is>
      </c>
      <c r="F35" s="2" t="inlineStr">
        <is>
          <t>Nē</t>
        </is>
      </c>
      <c r="G35" s="2" t="n"/>
    </row>
    <row r="36">
      <c r="A36" s="2" t="inlineStr">
        <is>
          <t>150-5370-10H-P0083-008</t>
        </is>
      </c>
      <c r="B36" s="2" t="inlineStr">
        <is>
          <t>150-5370-10H.pdf</t>
        </is>
      </c>
      <c r="C36" s="2" t="n">
        <v>83</v>
      </c>
      <c r="D36" s="2" t="n">
        <v>8</v>
      </c>
      <c r="E36" s="2" t="inlineStr">
        <is>
          <t>Provide temporary structures whenever construction equipment must cross watercourses at frequent intervals.</t>
        </is>
      </c>
      <c r="F36" s="2" t="inlineStr">
        <is>
          <t>Nē</t>
        </is>
      </c>
      <c r="G36" s="2" t="n"/>
    </row>
    <row r="37">
      <c r="A37" s="2" t="inlineStr">
        <is>
          <t>150-5370-10H-P0083-009</t>
        </is>
      </c>
      <c r="B37" s="2" t="inlineStr">
        <is>
          <t>150-5370-10H.pdf</t>
        </is>
      </c>
      <c r="C37" s="2" t="n">
        <v>83</v>
      </c>
      <c r="D37" s="2" t="n">
        <v>9</v>
      </c>
      <c r="E37" s="2" t="inlineStr">
        <is>
          <t>Pollutants such as fuels, lubricants, bitumen, raw sewage, wash water from concrete mixing operations, and other harmful materials shall not be discharged into any waterways, impoundments or into natural or manmade channels.</t>
        </is>
      </c>
      <c r="F37" s="2" t="inlineStr">
        <is>
          <t>Nē</t>
        </is>
      </c>
      <c r="G37" s="2" t="n"/>
    </row>
    <row r="38">
      <c r="A38" s="2" t="inlineStr">
        <is>
          <t>150-5370-10H-P0083-010</t>
        </is>
      </c>
      <c r="B38" s="2" t="inlineStr">
        <is>
          <t>150-5370-10H.pdf</t>
        </is>
      </c>
      <c r="C38" s="2" t="n">
        <v>83</v>
      </c>
      <c r="D38" s="2" t="n">
        <v>10</v>
      </c>
      <c r="E38" s="2" t="inlineStr">
        <is>
          <t>Coordinate with the approved CSPP and wildlife hazard assessment plan.</t>
        </is>
      </c>
      <c r="F38" s="2" t="inlineStr">
        <is>
          <t>Nē</t>
        </is>
      </c>
      <c r="G38" s="2" t="n"/>
    </row>
    <row r="39">
      <c r="A39" s="2" t="inlineStr">
        <is>
          <t>150-5370-10H-P0083-011</t>
        </is>
      </c>
      <c r="B39" s="2" t="inlineStr">
        <is>
          <t>150-5370-10H.pdf</t>
        </is>
      </c>
      <c r="C39" s="2" t="n">
        <v>83</v>
      </c>
      <c r="D39" s="2" t="n">
        <v>11</v>
      </c>
      <c r="E39" s="2" t="inlineStr">
        <is>
          <t>Check state and local requirements for Stormwater Prevention Plan Best management practices.</t>
        </is>
      </c>
      <c r="F39" s="2" t="inlineStr">
        <is>
          <t>Nē</t>
        </is>
      </c>
      <c r="G39" s="2" t="n"/>
    </row>
    <row r="40">
      <c r="A40" s="2" t="inlineStr">
        <is>
          <t>150-5370-10H-P0083-012</t>
        </is>
      </c>
      <c r="B40" s="2" t="inlineStr">
        <is>
          <t>150-5370-10H.pdf</t>
        </is>
      </c>
      <c r="C40" s="2" t="n">
        <v>83</v>
      </c>
      <c r="D40" s="2" t="n">
        <v>12</v>
      </c>
      <c r="E40" s="2" t="inlineStr">
        <is>
          <t>102-3.4 Installation, maintenance and removal of silt fence.</t>
        </is>
      </c>
      <c r="F40" s="2" t="inlineStr">
        <is>
          <t>Nē</t>
        </is>
      </c>
      <c r="G40" s="2" t="n"/>
    </row>
    <row r="41">
      <c r="A41" s="2" t="inlineStr">
        <is>
          <t>150-5370-10H-P0083-013</t>
        </is>
      </c>
      <c r="B41" s="2" t="inlineStr">
        <is>
          <t>150-5370-10H.pdf</t>
        </is>
      </c>
      <c r="C41" s="2" t="n">
        <v>83</v>
      </c>
      <c r="D41" s="2" t="n">
        <v>13</v>
      </c>
      <c r="E41" s="2" t="inlineStr">
        <is>
          <t>Silt fences shall extend a minimum of 16 inches (41 cm) and a maximum of 34 inches (86 cm) above the ground surface.</t>
        </is>
      </c>
      <c r="F41" s="2" t="inlineStr">
        <is>
          <t>Nē</t>
        </is>
      </c>
      <c r="G41" s="2" t="n"/>
    </row>
    <row r="42">
      <c r="A42" s="2" t="inlineStr">
        <is>
          <t>150-5370-10H-P0083-014</t>
        </is>
      </c>
      <c r="B42" s="2" t="inlineStr">
        <is>
          <t>150-5370-10H.pdf</t>
        </is>
      </c>
      <c r="C42" s="2" t="n">
        <v>83</v>
      </c>
      <c r="D42" s="2" t="n">
        <v>14</v>
      </c>
      <c r="E42" s="2" t="inlineStr">
        <is>
          <t>Posts shall be set no more than 10 feet (3 m) on center.</t>
        </is>
      </c>
      <c r="F42" s="2" t="inlineStr">
        <is>
          <t>Nē</t>
        </is>
      </c>
      <c r="G42" s="2" t="n"/>
    </row>
    <row r="43">
      <c r="A43" s="2" t="inlineStr">
        <is>
          <t>150-5370-10H-P0083-015</t>
        </is>
      </c>
      <c r="B43" s="2" t="inlineStr">
        <is>
          <t>150-5370-10H.pdf</t>
        </is>
      </c>
      <c r="C43" s="2" t="n">
        <v>83</v>
      </c>
      <c r="D43" s="2" t="n">
        <v>15</v>
      </c>
      <c r="E43" s="2" t="inlineStr">
        <is>
          <t>Filter fabric shall be cut from a continuous roll to the length required minimizing joints where possible.</t>
        </is>
      </c>
      <c r="F43" s="2" t="inlineStr">
        <is>
          <t>Nē</t>
        </is>
      </c>
      <c r="G43" s="2" t="n"/>
    </row>
    <row r="44">
      <c r="A44" s="2" t="inlineStr">
        <is>
          <t>150-5370-10H-P0083-016</t>
        </is>
      </c>
      <c r="B44" s="2" t="inlineStr">
        <is>
          <t>150-5370-10H.pdf</t>
        </is>
      </c>
      <c r="C44" s="2" t="n">
        <v>83</v>
      </c>
      <c r="D44" s="2" t="n">
        <v>16</v>
      </c>
      <c r="E44" s="2" t="inlineStr">
        <is>
          <t>When joints are necessary, the fabric shall be spliced at a support post with a minimum 12-inch (300-mm) overlap and securely sealed.</t>
        </is>
      </c>
      <c r="F44" s="2" t="inlineStr">
        <is>
          <t>Nē</t>
        </is>
      </c>
      <c r="G44" s="2" t="n"/>
    </row>
    <row r="45">
      <c r="A45" s="2" t="inlineStr">
        <is>
          <t>150-5370-10H-P0083-017</t>
        </is>
      </c>
      <c r="B45" s="2" t="inlineStr">
        <is>
          <t>150-5370-10H.pdf</t>
        </is>
      </c>
      <c r="C45" s="2" t="n">
        <v>83</v>
      </c>
      <c r="D45" s="2" t="n">
        <v>17</v>
      </c>
      <c r="E45" s="2" t="inlineStr">
        <is>
          <t>A trench shall be excavated approximately 4 inches (100 mm) deep by 4 inches (100 mm) wide on the upslope side of the silt fence.</t>
        </is>
      </c>
      <c r="F45" s="2" t="inlineStr">
        <is>
          <t>Nē</t>
        </is>
      </c>
      <c r="G45" s="2" t="n"/>
    </row>
    <row r="46">
      <c r="A46" s="2" t="inlineStr">
        <is>
          <t>150-5370-10H-P0083-018</t>
        </is>
      </c>
      <c r="B46" s="2" t="inlineStr">
        <is>
          <t>150-5370-10H.pdf</t>
        </is>
      </c>
      <c r="C46" s="2" t="n">
        <v>83</v>
      </c>
      <c r="D46" s="2" t="n">
        <v>18</v>
      </c>
      <c r="E46" s="2" t="inlineStr">
        <is>
          <t>The trench shall be backfilled and the soil compacted over the silt fence fabric.</t>
        </is>
      </c>
      <c r="F46" s="2" t="inlineStr">
        <is>
          <t>Nē</t>
        </is>
      </c>
      <c r="G46" s="2" t="n"/>
    </row>
    <row r="47">
      <c r="A47" s="2" t="inlineStr">
        <is>
          <t>150-5370-10H-P0083-019</t>
        </is>
      </c>
      <c r="B47" s="2" t="inlineStr">
        <is>
          <t>150-5370-10H.pdf</t>
        </is>
      </c>
      <c r="C47" s="2" t="n">
        <v>83</v>
      </c>
      <c r="D47" s="2" t="n">
        <v>19</v>
      </c>
      <c r="E47" s="2" t="inlineStr">
        <is>
          <t>The Contractor shall remove and dispose of silt that accumulates during construction and prior to establishment of permanent erosion control.</t>
        </is>
      </c>
      <c r="F47" s="2" t="inlineStr">
        <is>
          <t>Nē</t>
        </is>
      </c>
      <c r="G47" s="2" t="n"/>
    </row>
    <row r="48">
      <c r="A48" s="2" t="inlineStr">
        <is>
          <t>150-5370-10H-P0083-020</t>
        </is>
      </c>
      <c r="B48" s="2" t="inlineStr">
        <is>
          <t>150-5370-10H.pdf</t>
        </is>
      </c>
      <c r="C48" s="2" t="n">
        <v>83</v>
      </c>
      <c r="D48" s="2" t="n">
        <v>20</v>
      </c>
      <c r="E48" s="2" t="inlineStr">
        <is>
          <t>The fence shall be maintained in good working condition until permanent erosion control is established.</t>
        </is>
      </c>
      <c r="F48" s="2" t="inlineStr">
        <is>
          <t>Nē</t>
        </is>
      </c>
      <c r="G48" s="2" t="n"/>
    </row>
    <row r="49">
      <c r="A49" s="2" t="inlineStr">
        <is>
          <t>150-5370-10H-P0083-021</t>
        </is>
      </c>
      <c r="B49" s="2" t="inlineStr">
        <is>
          <t>150-5370-10H.pdf</t>
        </is>
      </c>
      <c r="C49" s="2" t="n">
        <v>83</v>
      </c>
      <c r="D49" s="2" t="n">
        <v>21</v>
      </c>
      <c r="E49" s="2" t="inlineStr">
        <is>
          <t>Silt fence shall be removed upon approval of the RPR.</t>
        </is>
      </c>
      <c r="F49" s="2" t="inlineStr">
        <is>
          <t>Nē</t>
        </is>
      </c>
      <c r="G49" s="2" t="n"/>
    </row>
    <row r="50">
      <c r="A50" s="2" t="inlineStr">
        <is>
          <t>150-5370-10H-P0083-022</t>
        </is>
      </c>
      <c r="B50" s="2" t="inlineStr">
        <is>
          <t>150-5370-10H.pdf</t>
        </is>
      </c>
      <c r="C50" s="2" t="n">
        <v>83</v>
      </c>
      <c r="D50" s="2" t="n">
        <v>22</v>
      </c>
      <c r="E50" s="2" t="inlineStr">
        <is>
          <t>METHOD OF MEASUREMENT</t>
        </is>
      </c>
      <c r="F50" s="2" t="inlineStr">
        <is>
          <t>Nē</t>
        </is>
      </c>
      <c r="G50" s="2" t="n"/>
    </row>
    <row r="51">
      <c r="A51" s="2" t="inlineStr">
        <is>
          <t>150-5370-10H-P0083-023</t>
        </is>
      </c>
      <c r="B51" s="2" t="inlineStr">
        <is>
          <t>150-5370-10H.pdf</t>
        </is>
      </c>
      <c r="C51" s="2" t="n">
        <v>83</v>
      </c>
      <c r="D51" s="2" t="n">
        <v>23</v>
      </c>
      <c r="E51" s="2" t="inlineStr">
        <is>
          <t>102-4.1 Temporary erosion and pollution control work required will be performed as scheduled or directed by the RPR.</t>
        </is>
      </c>
      <c r="F51" s="2" t="inlineStr">
        <is>
          <t>Nē</t>
        </is>
      </c>
      <c r="G51" s="2" t="n"/>
    </row>
    <row r="52">
      <c r="A52" s="2" t="inlineStr">
        <is>
          <t>150-5370-10H-P0083-024</t>
        </is>
      </c>
      <c r="B52" s="2" t="inlineStr">
        <is>
          <t>150-5370-10H.pdf</t>
        </is>
      </c>
      <c r="C52" s="2" t="n">
        <v>83</v>
      </c>
      <c r="D52" s="2" t="n">
        <v>24</v>
      </c>
      <c r="E52" s="2" t="inlineStr">
        <is>
          <t>Completed and accepted work will be measured as follows:</t>
        </is>
      </c>
      <c r="F52" s="2" t="inlineStr">
        <is>
          <t>Nē</t>
        </is>
      </c>
      <c r="G52" s="2" t="n"/>
    </row>
    <row r="53">
      <c r="A53" s="2" t="inlineStr">
        <is>
          <t>150-5370-10H-P0083-025</t>
        </is>
      </c>
      <c r="B53" s="2" t="inlineStr">
        <is>
          <t>150-5370-10H.pdf</t>
        </is>
      </c>
      <c r="C53" s="2" t="n">
        <v>83</v>
      </c>
      <c r="D53" s="2" t="n">
        <v>25</v>
      </c>
      <c r="E53" s="2" t="inlineStr">
        <is>
          <t>a. Temporary seeding and mulching will be measured by the square yard (square meter).</t>
        </is>
      </c>
      <c r="F53" s="2" t="inlineStr">
        <is>
          <t>Nē</t>
        </is>
      </c>
      <c r="G53" s="2" t="n"/>
    </row>
    <row r="54">
      <c r="A54" s="2" t="inlineStr">
        <is>
          <t>150-5370-10H-P0083-026</t>
        </is>
      </c>
      <c r="B54" s="2" t="inlineStr">
        <is>
          <t>150-5370-10H.pdf</t>
        </is>
      </c>
      <c r="C54" s="2" t="n">
        <v>83</v>
      </c>
      <c r="D54" s="2" t="n">
        <v>26</v>
      </c>
      <c r="E54" s="2" t="inlineStr">
        <is>
          <t>b. Temporary slope drains will be measured by the linear foot (meter).</t>
        </is>
      </c>
      <c r="F54" s="2" t="inlineStr">
        <is>
          <t>Nē</t>
        </is>
      </c>
      <c r="G54" s="2" t="n"/>
    </row>
    <row r="55">
      <c r="A55" s="2" t="inlineStr">
        <is>
          <t>150-5370-10H-P0083-027</t>
        </is>
      </c>
      <c r="B55" s="2" t="inlineStr">
        <is>
          <t>150-5370-10H.pdf</t>
        </is>
      </c>
      <c r="C55" s="2" t="n">
        <v>83</v>
      </c>
      <c r="D55" s="2" t="n">
        <v>27</v>
      </c>
      <c r="E55" s="2" t="inlineStr">
        <is>
          <t>c. Temporary benches, dikes, dams, and sediment basins will be measured by the cubic yard (cubic meter) of excavation performed, including necessary cleaning of sediment basins, and the cubic yard (cubic meter) of embankment placed as directed by the RPR.</t>
        </is>
      </c>
      <c r="F55" s="2" t="inlineStr">
        <is>
          <t>Nē</t>
        </is>
      </c>
      <c r="G55" s="2" t="n"/>
    </row>
    <row r="56">
      <c r="A56" s="2" t="inlineStr">
        <is>
          <t>150-5370-10H-P0083-028</t>
        </is>
      </c>
      <c r="B56" s="2" t="inlineStr">
        <is>
          <t>150-5370-10H.pdf</t>
        </is>
      </c>
      <c r="C56" s="2" t="n">
        <v>83</v>
      </c>
      <c r="D56" s="2" t="n">
        <v>28</v>
      </c>
      <c r="E56" s="2" t="inlineStr">
        <is>
          <t>d. All fertilizing will be measured by the ton (kg).</t>
        </is>
      </c>
      <c r="F56" s="2" t="inlineStr">
        <is>
          <t>Nē</t>
        </is>
      </c>
      <c r="G56" s="2" t="n"/>
    </row>
    <row r="57">
      <c r="A57" s="2" t="inlineStr">
        <is>
          <t>150-5370-10H-P0083-029</t>
        </is>
      </c>
      <c r="B57" s="2" t="inlineStr">
        <is>
          <t>150-5370-10H.pdf</t>
        </is>
      </c>
      <c r="C57" s="2" t="n">
        <v>83</v>
      </c>
      <c r="D57" s="2" t="n">
        <v>29</v>
      </c>
      <c r="E57" s="2" t="inlineStr">
        <is>
          <t>Item C-102 Temporary Air and Water Pollution, Soil Erosion, and Siltation Control 75</t>
        </is>
      </c>
      <c r="F57" s="2" t="inlineStr">
        <is>
          <t>Nē</t>
        </is>
      </c>
      <c r="G57" s="2" t="n"/>
    </row>
    <row r="58">
      <c r="A58" s="2" t="inlineStr">
        <is>
          <t>150-5370-10H-P0106-001</t>
        </is>
      </c>
      <c r="B58" s="2" t="inlineStr">
        <is>
          <t>150-5370-10H.pdf</t>
        </is>
      </c>
      <c r="C58" s="2" t="n">
        <v>106</v>
      </c>
      <c r="D58" s="2" t="n">
        <v>1</v>
      </c>
      <c r="E58" s="2" t="inlineStr">
        <is>
          <t>12/21/2018 AC 150/5370-10H</t>
        </is>
      </c>
      <c r="F58" s="2" t="inlineStr">
        <is>
          <t>Nē</t>
        </is>
      </c>
      <c r="G58" s="2" t="n"/>
    </row>
    <row r="59">
      <c r="A59" s="2" t="inlineStr">
        <is>
          <t>150-5370-10H-P0106-002</t>
        </is>
      </c>
      <c r="B59" s="2" t="inlineStr">
        <is>
          <t>150-5370-10H.pdf</t>
        </is>
      </c>
      <c r="C59" s="2" t="n">
        <v>106</v>
      </c>
      <c r="D59" s="2" t="n">
        <v>2</v>
      </c>
      <c r="E59" s="2" t="inlineStr">
        <is>
          <t>Page Intentionally Blank</t>
        </is>
      </c>
      <c r="F59" s="2" t="inlineStr">
        <is>
          <t>Nē</t>
        </is>
      </c>
      <c r="G59" s="2" t="n"/>
    </row>
    <row r="60">
      <c r="A60" s="2" t="inlineStr">
        <is>
          <t>150-5370-10H-P0106-003</t>
        </is>
      </c>
      <c r="B60" s="2" t="inlineStr">
        <is>
          <t>150-5370-10H.pdf</t>
        </is>
      </c>
      <c r="C60" s="2" t="n">
        <v>106</v>
      </c>
      <c r="D60" s="2" t="n">
        <v>3</v>
      </c>
      <c r="E60" s="2" t="inlineStr">
        <is>
          <t>Item P-101 Preparation/Removal of Existing Pavements 98</t>
        </is>
      </c>
      <c r="F60" s="2" t="inlineStr">
        <is>
          <t>Nē</t>
        </is>
      </c>
      <c r="G60" s="2" t="n"/>
    </row>
    <row r="61">
      <c r="A61" s="2" t="inlineStr">
        <is>
          <t>150-5370-10H-P0122-001</t>
        </is>
      </c>
      <c r="B61" s="2" t="inlineStr">
        <is>
          <t>150-5370-10H.pdf</t>
        </is>
      </c>
      <c r="C61" s="2" t="n">
        <v>122</v>
      </c>
      <c r="D61" s="2" t="n">
        <v>1</v>
      </c>
      <c r="E61" s="2" t="inlineStr">
        <is>
          <t>12/21/2018 AC 150/5370-10H</t>
        </is>
      </c>
      <c r="F61" s="2" t="inlineStr">
        <is>
          <t>Nē</t>
        </is>
      </c>
      <c r="G61" s="2" t="n"/>
    </row>
    <row r="62">
      <c r="A62" s="2" t="inlineStr">
        <is>
          <t>150-5370-10H-P0122-002</t>
        </is>
      </c>
      <c r="B62" s="2" t="inlineStr">
        <is>
          <t>150-5370-10H.pdf</t>
        </is>
      </c>
      <c r="C62" s="2" t="n">
        <v>122</v>
      </c>
      <c r="D62" s="2" t="n">
        <v>2</v>
      </c>
      <c r="E62" s="2" t="inlineStr">
        <is>
          <t>152-2.12 Haul.</t>
        </is>
      </c>
      <c r="F62" s="2" t="inlineStr">
        <is>
          <t>Nē</t>
        </is>
      </c>
      <c r="G62" s="2" t="n"/>
    </row>
    <row r="63">
      <c r="A63" s="2" t="inlineStr">
        <is>
          <t>150-5370-10H-P0122-003</t>
        </is>
      </c>
      <c r="B63" s="2" t="inlineStr">
        <is>
          <t>150-5370-10H.pdf</t>
        </is>
      </c>
      <c r="C63" s="2" t="n">
        <v>122</v>
      </c>
      <c r="D63" s="2" t="n">
        <v>3</v>
      </c>
      <c r="E63" s="2" t="inlineStr">
        <is>
          <t>All hauling will be considered a necessary and incidental part of the work.</t>
        </is>
      </c>
      <c r="F63" s="2" t="inlineStr">
        <is>
          <t>Nē</t>
        </is>
      </c>
      <c r="G63" s="2" t="n"/>
    </row>
    <row r="64">
      <c r="A64" s="2" t="inlineStr">
        <is>
          <t>150-5370-10H-P0122-004</t>
        </is>
      </c>
      <c r="B64" s="2" t="inlineStr">
        <is>
          <t>150-5370-10H.pdf</t>
        </is>
      </c>
      <c r="C64" s="2" t="n">
        <v>122</v>
      </c>
      <c r="D64" s="2" t="n">
        <v>4</v>
      </c>
      <c r="E64" s="2" t="inlineStr">
        <is>
          <t>The Contractor shall include the cost in the contract unit price for the pay of items of work involved.</t>
        </is>
      </c>
      <c r="F64" s="2" t="inlineStr">
        <is>
          <t>Nē</t>
        </is>
      </c>
      <c r="G64" s="2" t="n"/>
    </row>
    <row r="65">
      <c r="A65" s="2" t="inlineStr">
        <is>
          <t>150-5370-10H-P0122-005</t>
        </is>
      </c>
      <c r="B65" s="2" t="inlineStr">
        <is>
          <t>150-5370-10H.pdf</t>
        </is>
      </c>
      <c r="C65" s="2" t="n">
        <v>122</v>
      </c>
      <c r="D65" s="2" t="n">
        <v>5</v>
      </c>
      <c r="E65" s="2" t="inlineStr">
        <is>
          <t>No payment will be made separately or directly for hauling on any part of the work.</t>
        </is>
      </c>
      <c r="F65" s="2" t="inlineStr">
        <is>
          <t>Nē</t>
        </is>
      </c>
      <c r="G65" s="2" t="n"/>
    </row>
    <row r="66">
      <c r="A66" s="2" t="inlineStr">
        <is>
          <t>150-5370-10H-P0122-006</t>
        </is>
      </c>
      <c r="B66" s="2" t="inlineStr">
        <is>
          <t>150-5370-10H.pdf</t>
        </is>
      </c>
      <c r="C66" s="2" t="n">
        <v>122</v>
      </c>
      <c r="D66" s="2" t="n">
        <v>6</v>
      </c>
      <c r="E66" s="2" t="inlineStr">
        <is>
          <t>The Contractor's equipment shall not cause damage to any excavated surface, compacted lift or to the subgrade as a result of hauling operations.</t>
        </is>
      </c>
      <c r="F66" s="2" t="inlineStr">
        <is>
          <t>Nē</t>
        </is>
      </c>
      <c r="G66" s="2" t="n"/>
    </row>
    <row r="67">
      <c r="A67" s="2" t="inlineStr">
        <is>
          <t>150-5370-10H-P0122-007</t>
        </is>
      </c>
      <c r="B67" s="2" t="inlineStr">
        <is>
          <t>150-5370-10H.pdf</t>
        </is>
      </c>
      <c r="C67" s="2" t="n">
        <v>122</v>
      </c>
      <c r="D67" s="2" t="n">
        <v>7</v>
      </c>
      <c r="E67" s="2" t="inlineStr">
        <is>
          <t>Any damage caused as a result of the Contractor's hauling operations shall be repaired at the Contractor's expense.</t>
        </is>
      </c>
      <c r="F67" s="2" t="inlineStr">
        <is>
          <t>Nē</t>
        </is>
      </c>
      <c r="G67" s="2" t="n"/>
    </row>
    <row r="68">
      <c r="A68" s="2" t="inlineStr">
        <is>
          <t>150-5370-10H-P0122-008</t>
        </is>
      </c>
      <c r="B68" s="2" t="inlineStr">
        <is>
          <t>150-5370-10H.pdf</t>
        </is>
      </c>
      <c r="C68" s="2" t="n">
        <v>122</v>
      </c>
      <c r="D68" s="2" t="n">
        <v>8</v>
      </c>
      <c r="E68" s="2" t="inlineStr">
        <is>
          <t>The Contractor shall be responsible for providing, maintaining and removing any haul roads or routes within or outside of the work area, and shall return the affected areas to their former condition, unless otherwise authorized in writing by the Owner.</t>
        </is>
      </c>
      <c r="F68" s="2" t="inlineStr">
        <is>
          <t>Nē</t>
        </is>
      </c>
      <c r="G68" s="2" t="n"/>
    </row>
    <row r="69">
      <c r="A69" s="2" t="inlineStr">
        <is>
          <t>150-5370-10H-P0122-009</t>
        </is>
      </c>
      <c r="B69" s="2" t="inlineStr">
        <is>
          <t>150-5370-10H.pdf</t>
        </is>
      </c>
      <c r="C69" s="2" t="n">
        <v>122</v>
      </c>
      <c r="D69" s="2" t="n">
        <v>9</v>
      </c>
      <c r="E69" s="2" t="inlineStr">
        <is>
          <t>No separate payment will be made for any work or materials associated with providing, maintaining and removing haul roads or routes.</t>
        </is>
      </c>
      <c r="F69" s="2" t="inlineStr">
        <is>
          <t>Nē</t>
        </is>
      </c>
      <c r="G69" s="2" t="n"/>
    </row>
    <row r="70">
      <c r="A70" s="2" t="inlineStr">
        <is>
          <t>150-5370-10H-P0122-010</t>
        </is>
      </c>
      <c r="B70" s="2" t="inlineStr">
        <is>
          <t>150-5370-10H.pdf</t>
        </is>
      </c>
      <c r="C70" s="2" t="n">
        <v>122</v>
      </c>
      <c r="D70" s="2" t="n">
        <v>10</v>
      </c>
      <c r="E70" s="2" t="inlineStr">
        <is>
          <t>152-2.13 Surface Tolerances.</t>
        </is>
      </c>
      <c r="F70" s="2" t="inlineStr">
        <is>
          <t>Nē</t>
        </is>
      </c>
      <c r="G70" s="2" t="n"/>
    </row>
    <row r="71">
      <c r="A71" s="2" t="inlineStr">
        <is>
          <t>150-5370-10H-P0122-011</t>
        </is>
      </c>
      <c r="B71" s="2" t="inlineStr">
        <is>
          <t>150-5370-10H.pdf</t>
        </is>
      </c>
      <c r="C71" s="2" t="n">
        <v>122</v>
      </c>
      <c r="D71" s="2" t="n">
        <v>11</v>
      </c>
      <c r="E71" s="2" t="inlineStr">
        <is>
          <t>In those areas on which a subbase or base course is to be placed, the surface shall be tested for smoothness and accuracy of grade and crown.</t>
        </is>
      </c>
      <c r="F71" s="2" t="inlineStr">
        <is>
          <t>Nē</t>
        </is>
      </c>
      <c r="G71" s="2" t="n"/>
    </row>
    <row r="72">
      <c r="A72" s="2" t="inlineStr">
        <is>
          <t>150-5370-10H-P0122-012</t>
        </is>
      </c>
      <c r="B72" s="2" t="inlineStr">
        <is>
          <t>150-5370-10H.pdf</t>
        </is>
      </c>
      <c r="C72" s="2" t="n">
        <v>122</v>
      </c>
      <c r="D72" s="2" t="n">
        <v>12</v>
      </c>
      <c r="E72" s="2" t="inlineStr">
        <is>
          <t>Any portion lacking the required smoothness or failing in accuracy of grade or crown shall be scarified to a depth of at least 3 inches (75 mm), reshaped and re-compacted to grade until the required smoothness and accuracy are obtained and approved by the RPR.</t>
        </is>
      </c>
      <c r="F72" s="2" t="inlineStr">
        <is>
          <t>Nē</t>
        </is>
      </c>
      <c r="G72" s="2" t="n"/>
    </row>
    <row r="73">
      <c r="A73" s="2" t="inlineStr">
        <is>
          <t>150-5370-10H-P0122-013</t>
        </is>
      </c>
      <c r="B73" s="2" t="inlineStr">
        <is>
          <t>150-5370-10H.pdf</t>
        </is>
      </c>
      <c r="C73" s="2" t="n">
        <v>122</v>
      </c>
      <c r="D73" s="2" t="n">
        <v>13</v>
      </c>
      <c r="E73" s="2" t="inlineStr">
        <is>
          <t>The Contractor shall perform all final smoothness and grade checks in the presence of the RPR.</t>
        </is>
      </c>
      <c r="F73" s="2" t="inlineStr">
        <is>
          <t>Nē</t>
        </is>
      </c>
      <c r="G73" s="2" t="n"/>
    </row>
    <row r="74">
      <c r="A74" s="2" t="inlineStr">
        <is>
          <t>150-5370-10H-P0122-014</t>
        </is>
      </c>
      <c r="B74" s="2" t="inlineStr">
        <is>
          <t>150-5370-10H.pdf</t>
        </is>
      </c>
      <c r="C74" s="2" t="n">
        <v>122</v>
      </c>
      <c r="D74" s="2" t="n">
        <v>14</v>
      </c>
      <c r="E74" s="2" t="inlineStr">
        <is>
          <t>Any deviation in surface tolerances shall be corrected by the Contractor at the Contractor’s expense.</t>
        </is>
      </c>
      <c r="F74" s="2" t="inlineStr">
        <is>
          <t>Nē</t>
        </is>
      </c>
      <c r="G74" s="2" t="n"/>
    </row>
    <row r="75">
      <c r="A75" s="2" t="inlineStr">
        <is>
          <t>150-5370-10H-P0122-015</t>
        </is>
      </c>
      <c r="B75" s="2" t="inlineStr">
        <is>
          <t>150-5370-10H.pdf</t>
        </is>
      </c>
      <c r="C75" s="2" t="n">
        <v>122</v>
      </c>
      <c r="D75" s="2" t="n">
        <v>15</v>
      </c>
      <c r="E75" s="2" t="inlineStr">
        <is>
          <t>a. Smoothness.</t>
        </is>
      </c>
      <c r="F75" s="2" t="inlineStr">
        <is>
          <t>Nē</t>
        </is>
      </c>
      <c r="G75" s="2" t="n"/>
    </row>
    <row r="76">
      <c r="A76" s="2" t="inlineStr">
        <is>
          <t>150-5370-10H-P0122-016</t>
        </is>
      </c>
      <c r="B76" s="2" t="inlineStr">
        <is>
          <t>150-5370-10H.pdf</t>
        </is>
      </c>
      <c r="C76" s="2" t="n">
        <v>122</v>
      </c>
      <c r="D76" s="2" t="n">
        <v>16</v>
      </c>
      <c r="E76" s="2" t="inlineStr">
        <is>
          <t>The finished surface shall not vary more than +/- ½ inch (12 mm) when tested with a 12-foot (3.7-m) straightedge applied parallel with and at right angles to the centerline.</t>
        </is>
      </c>
      <c r="F76" s="2" t="inlineStr">
        <is>
          <t>Nē</t>
        </is>
      </c>
      <c r="G76" s="2" t="n"/>
    </row>
    <row r="77">
      <c r="A77" s="2" t="inlineStr">
        <is>
          <t>150-5370-10H-P0122-017</t>
        </is>
      </c>
      <c r="B77" s="2" t="inlineStr">
        <is>
          <t>150-5370-10H.pdf</t>
        </is>
      </c>
      <c r="C77" s="2" t="n">
        <v>122</v>
      </c>
      <c r="D77" s="2" t="n">
        <v>17</v>
      </c>
      <c r="E77" s="2" t="inlineStr">
        <is>
          <t>The straightedge shall be moved continuously forward at half the length of the 12-foot (3.7-m) straightedge for the full length of each line on a 50-foot (15-m) grid.</t>
        </is>
      </c>
      <c r="F77" s="2" t="inlineStr">
        <is>
          <t>Nē</t>
        </is>
      </c>
      <c r="G77" s="2" t="n"/>
    </row>
    <row r="78">
      <c r="A78" s="2" t="inlineStr">
        <is>
          <t>150-5370-10H-P0122-018</t>
        </is>
      </c>
      <c r="B78" s="2" t="inlineStr">
        <is>
          <t>150-5370-10H.pdf</t>
        </is>
      </c>
      <c r="C78" s="2" t="n">
        <v>122</v>
      </c>
      <c r="D78" s="2" t="n">
        <v>18</v>
      </c>
      <c r="E78" s="2" t="inlineStr">
        <is>
          <t>b. Grade.</t>
        </is>
      </c>
      <c r="F78" s="2" t="inlineStr">
        <is>
          <t>Nē</t>
        </is>
      </c>
      <c r="G78" s="2" t="n"/>
    </row>
    <row r="79">
      <c r="A79" s="2" t="inlineStr">
        <is>
          <t>150-5370-10H-P0122-019</t>
        </is>
      </c>
      <c r="B79" s="2" t="inlineStr">
        <is>
          <t>150-5370-10H.pdf</t>
        </is>
      </c>
      <c r="C79" s="2" t="n">
        <v>122</v>
      </c>
      <c r="D79" s="2" t="n">
        <v>19</v>
      </c>
      <c r="E79" s="2" t="inlineStr">
        <is>
          <t>The grade and crown shall be measured on a 50-foot (15-m) grid and shall be within +/- 0.05 feet (15 mm) of the specified grade.</t>
        </is>
      </c>
      <c r="F79" s="2" t="inlineStr">
        <is>
          <t>Nē</t>
        </is>
      </c>
      <c r="G79" s="2" t="n"/>
    </row>
    <row r="80">
      <c r="A80" s="2" t="inlineStr">
        <is>
          <t>150-5370-10H-P0122-020</t>
        </is>
      </c>
      <c r="B80" s="2" t="inlineStr">
        <is>
          <t>150-5370-10H.pdf</t>
        </is>
      </c>
      <c r="C80" s="2" t="n">
        <v>122</v>
      </c>
      <c r="D80" s="2" t="n">
        <v>20</v>
      </c>
      <c r="E80" s="2" t="inlineStr">
        <is>
          <t>On safety areas, turfed areas and other designated areas within the grading limits where no subbase or base is to placed, grade shall not vary more than 0.10 feet (30 mm) from specified grade.</t>
        </is>
      </c>
      <c r="F80" s="2" t="inlineStr">
        <is>
          <t>Nē</t>
        </is>
      </c>
      <c r="G80" s="2" t="n"/>
    </row>
    <row r="81">
      <c r="A81" s="2" t="inlineStr">
        <is>
          <t>150-5370-10H-P0122-021</t>
        </is>
      </c>
      <c r="B81" s="2" t="inlineStr">
        <is>
          <t>150-5370-10H.pdf</t>
        </is>
      </c>
      <c r="C81" s="2" t="n">
        <v>122</v>
      </c>
      <c r="D81" s="2" t="n">
        <v>21</v>
      </c>
      <c r="E81" s="2" t="inlineStr">
        <is>
          <t>Any deviation in excess of this amount shall be corrected by loosening, adding or removing materials, and reshaping.</t>
        </is>
      </c>
      <c r="F81" s="2" t="inlineStr">
        <is>
          <t>Nē</t>
        </is>
      </c>
      <c r="G81" s="2" t="n"/>
    </row>
    <row r="82">
      <c r="A82" s="2" t="inlineStr">
        <is>
          <t>150-5370-10H-P0122-022</t>
        </is>
      </c>
      <c r="B82" s="2" t="inlineStr">
        <is>
          <t>150-5370-10H.pdf</t>
        </is>
      </c>
      <c r="C82" s="2" t="n">
        <v>122</v>
      </c>
      <c r="D82" s="2" t="n">
        <v>22</v>
      </c>
      <c r="E82" s="2" t="inlineStr">
        <is>
          <t>152-2.14 Topsoil.</t>
        </is>
      </c>
      <c r="F82" s="2" t="inlineStr">
        <is>
          <t>Nē</t>
        </is>
      </c>
      <c r="G82" s="2" t="n"/>
    </row>
    <row r="83">
      <c r="A83" s="2" t="inlineStr">
        <is>
          <t>150-5370-10H-P0122-023</t>
        </is>
      </c>
      <c r="B83" s="2" t="inlineStr">
        <is>
          <t>150-5370-10H.pdf</t>
        </is>
      </c>
      <c r="C83" s="2" t="n">
        <v>122</v>
      </c>
      <c r="D83" s="2" t="n">
        <v>23</v>
      </c>
      <c r="E83" s="2" t="inlineStr">
        <is>
          <t>When topsoil is specified or required as shown on the plans or under Item T-905, it shall be salvaged from stripping or other grading operations.</t>
        </is>
      </c>
      <c r="F83" s="2" t="inlineStr">
        <is>
          <t>Nē</t>
        </is>
      </c>
      <c r="G83" s="2" t="n"/>
    </row>
    <row r="84">
      <c r="A84" s="2" t="inlineStr">
        <is>
          <t>150-5370-10H-P0122-024</t>
        </is>
      </c>
      <c r="B84" s="2" t="inlineStr">
        <is>
          <t>150-5370-10H.pdf</t>
        </is>
      </c>
      <c r="C84" s="2" t="n">
        <v>122</v>
      </c>
      <c r="D84" s="2" t="n">
        <v>24</v>
      </c>
      <c r="E84" s="2" t="inlineStr">
        <is>
          <t>The topsoil shall meet the requirements of</t>
        </is>
      </c>
      <c r="F84" s="2" t="inlineStr">
        <is>
          <t>Nē</t>
        </is>
      </c>
      <c r="G84" s="2" t="n"/>
    </row>
    <row r="85">
      <c r="A85" s="2" t="inlineStr">
        <is>
          <t>150-5370-10H-P0122-025</t>
        </is>
      </c>
      <c r="B85" s="2" t="inlineStr">
        <is>
          <t>150-5370-10H.pdf</t>
        </is>
      </c>
      <c r="C85" s="2" t="n">
        <v>122</v>
      </c>
      <c r="D85" s="2" t="n">
        <v>25</v>
      </c>
      <c r="E85" s="2" t="inlineStr">
        <is>
          <t>Item T-905.</t>
        </is>
      </c>
      <c r="F85" s="2" t="inlineStr">
        <is>
          <t>Nē</t>
        </is>
      </c>
      <c r="G85" s="2" t="n"/>
    </row>
    <row r="86">
      <c r="A86" s="2" t="inlineStr">
        <is>
          <t>150-5370-10H-P0122-026</t>
        </is>
      </c>
      <c r="B86" s="2" t="inlineStr">
        <is>
          <t>150-5370-10H.pdf</t>
        </is>
      </c>
      <c r="C86" s="2" t="n">
        <v>122</v>
      </c>
      <c r="D86" s="2" t="n">
        <v>26</v>
      </c>
      <c r="E86" s="2" t="inlineStr">
        <is>
          <t>If, at the time of excavation or stripping, the topsoil cannot be placed in its final section of</t>
        </is>
      </c>
      <c r="F86" s="2" t="inlineStr">
        <is>
          <t>Nē</t>
        </is>
      </c>
      <c r="G86" s="2" t="n"/>
    </row>
    <row r="87">
      <c r="A87" s="2" t="inlineStr">
        <is>
          <t>150-5370-10H-P0122-027</t>
        </is>
      </c>
      <c r="B87" s="2" t="inlineStr">
        <is>
          <t>150-5370-10H.pdf</t>
        </is>
      </c>
      <c r="C87" s="2" t="n">
        <v>122</v>
      </c>
      <c r="D87" s="2" t="n">
        <v>27</v>
      </c>
      <c r="E87" s="2" t="inlineStr">
        <is>
          <t>finished construction, the material shall be stockpiled at approved locations.</t>
        </is>
      </c>
      <c r="F87" s="2" t="inlineStr">
        <is>
          <t>Nē</t>
        </is>
      </c>
      <c r="G87" s="2" t="n"/>
    </row>
    <row r="88">
      <c r="A88" s="2" t="inlineStr">
        <is>
          <t>150-5370-10H-P0122-028</t>
        </is>
      </c>
      <c r="B88" s="2" t="inlineStr">
        <is>
          <t>150-5370-10H.pdf</t>
        </is>
      </c>
      <c r="C88" s="2" t="n">
        <v>122</v>
      </c>
      <c r="D88" s="2" t="n">
        <v>28</v>
      </c>
      <c r="E88" s="2" t="inlineStr">
        <is>
          <t>Stockpiles shall be located as shown on the plans and the approved CSPP, and shall not be placed on areas that subsequently will require any excavation or embankment fill.</t>
        </is>
      </c>
      <c r="F88" s="2" t="inlineStr">
        <is>
          <t>Nē</t>
        </is>
      </c>
      <c r="G88" s="2" t="n"/>
    </row>
    <row r="89">
      <c r="A89" s="2" t="inlineStr">
        <is>
          <t>150-5370-10H-P0122-029</t>
        </is>
      </c>
      <c r="B89" s="2" t="inlineStr">
        <is>
          <t>150-5370-10H.pdf</t>
        </is>
      </c>
      <c r="C89" s="2" t="n">
        <v>122</v>
      </c>
      <c r="D89" s="2" t="n">
        <v>29</v>
      </c>
      <c r="E89" s="2" t="inlineStr">
        <is>
          <t>If, in the judgment of the RPR, it is practical to place the salvaged topsoil at the time of excavation or stripping, the material shall be placed in its final position without stockpiling or further re-handling.</t>
        </is>
      </c>
      <c r="F89" s="2" t="inlineStr">
        <is>
          <t>Nē</t>
        </is>
      </c>
      <c r="G89" s="2" t="n"/>
    </row>
    <row r="90">
      <c r="A90" s="2" t="inlineStr">
        <is>
          <t>150-5370-10H-P0122-030</t>
        </is>
      </c>
      <c r="B90" s="2" t="inlineStr">
        <is>
          <t>150-5370-10H.pdf</t>
        </is>
      </c>
      <c r="C90" s="2" t="n">
        <v>122</v>
      </c>
      <c r="D90" s="2" t="n">
        <v>30</v>
      </c>
      <c r="E90" s="2" t="inlineStr">
        <is>
          <t>Refer to AC 150/5370-2, Operational Safety on Airports During Construction when developing the Construction Safety and Phasing Plan (CSPP).</t>
        </is>
      </c>
      <c r="F90" s="2" t="inlineStr">
        <is>
          <t>Nē</t>
        </is>
      </c>
      <c r="G90" s="2" t="n"/>
    </row>
    <row r="91">
      <c r="A91" s="2" t="inlineStr">
        <is>
          <t>150-5370-10H-P0122-031</t>
        </is>
      </c>
      <c r="B91" s="2" t="inlineStr">
        <is>
          <t>150-5370-10H.pdf</t>
        </is>
      </c>
      <c r="C91" s="2" t="n">
        <v>122</v>
      </c>
      <c r="D91" s="2" t="n">
        <v>31</v>
      </c>
      <c r="E91" s="2" t="inlineStr">
        <is>
          <t>Upon completion of grading operations, stockpiled topsoil shall be handled and placed as shown on the plans and as required in Item T-905.</t>
        </is>
      </c>
      <c r="F91" s="2" t="inlineStr">
        <is>
          <t>Nē</t>
        </is>
      </c>
      <c r="G91" s="2" t="n"/>
    </row>
    <row r="92">
      <c r="A92" s="2" t="inlineStr">
        <is>
          <t>150-5370-10H-P0122-032</t>
        </is>
      </c>
      <c r="B92" s="2" t="inlineStr">
        <is>
          <t>150-5370-10H.pdf</t>
        </is>
      </c>
      <c r="C92" s="2" t="n">
        <v>122</v>
      </c>
      <c r="D92" s="2" t="n">
        <v>32</v>
      </c>
      <c r="E92" s="2" t="inlineStr">
        <is>
          <t>Topsoil shall be paid for as provided in Item T-905.</t>
        </is>
      </c>
      <c r="F92" s="2" t="inlineStr">
        <is>
          <t>Nē</t>
        </is>
      </c>
      <c r="G92" s="2" t="n"/>
    </row>
    <row r="93">
      <c r="A93" s="2" t="inlineStr">
        <is>
          <t>150-5370-10H-P0122-033</t>
        </is>
      </c>
      <c r="B93" s="2" t="inlineStr">
        <is>
          <t>150-5370-10H.pdf</t>
        </is>
      </c>
      <c r="C93" s="2" t="n">
        <v>122</v>
      </c>
      <c r="D93" s="2" t="n">
        <v>33</v>
      </c>
      <c r="E93" s="2" t="inlineStr">
        <is>
          <t>No direct payment will be made for topsoil under Item P-152.</t>
        </is>
      </c>
      <c r="F93" s="2" t="inlineStr">
        <is>
          <t>Nē</t>
        </is>
      </c>
      <c r="G93" s="2" t="n"/>
    </row>
    <row r="94">
      <c r="A94" s="2" t="inlineStr">
        <is>
          <t>150-5370-10H-P0122-034</t>
        </is>
      </c>
      <c r="B94" s="2" t="inlineStr">
        <is>
          <t>150-5370-10H.pdf</t>
        </is>
      </c>
      <c r="C94" s="2" t="n">
        <v>122</v>
      </c>
      <c r="D94" s="2" t="n">
        <v>34</v>
      </c>
      <c r="E94" s="2" t="inlineStr">
        <is>
          <t>Item P-152 Excavation, Subgrade, and Embankment 114</t>
        </is>
      </c>
      <c r="F94" s="2" t="inlineStr">
        <is>
          <t>Nē</t>
        </is>
      </c>
      <c r="G94" s="2" t="n"/>
    </row>
    <row r="95">
      <c r="A95" s="2" t="inlineStr">
        <is>
          <t>150-5370-10H-P0229-001</t>
        </is>
      </c>
      <c r="B95" s="2" t="inlineStr">
        <is>
          <t>150-5370-10H.pdf</t>
        </is>
      </c>
      <c r="C95" s="2" t="n">
        <v>229</v>
      </c>
      <c r="D95" s="2" t="n">
        <v>1</v>
      </c>
      <c r="E95" s="2" t="inlineStr">
        <is>
          <t>12/21/2018 AC 150/5370-10H</t>
        </is>
      </c>
      <c r="F95" s="2" t="inlineStr">
        <is>
          <t>Nē</t>
        </is>
      </c>
      <c r="G95" s="2" t="n"/>
    </row>
    <row r="96">
      <c r="A96" s="2" t="inlineStr">
        <is>
          <t>150-5370-10H-P0229-002</t>
        </is>
      </c>
      <c r="B96" s="2" t="inlineStr">
        <is>
          <t>150-5370-10H.pdf</t>
        </is>
      </c>
      <c r="C96" s="2" t="n">
        <v>229</v>
      </c>
      <c r="D96" s="2" t="n">
        <v>2</v>
      </c>
      <c r="E96" s="2" t="inlineStr">
        <is>
          <t>full compensation for furnishing all labor, equipment, material, anchors, and incidentals necessary. ]</t>
        </is>
      </c>
      <c r="F96" s="2" t="inlineStr">
        <is>
          <t>Nē</t>
        </is>
      </c>
      <c r="G96" s="2" t="n"/>
    </row>
    <row r="97">
      <c r="A97" s="2" t="inlineStr">
        <is>
          <t>150-5370-10H-P0229-003</t>
        </is>
      </c>
      <c r="B97" s="2" t="inlineStr">
        <is>
          <t>150-5370-10H.pdf</t>
        </is>
      </c>
      <c r="C97" s="2" t="n">
        <v>229</v>
      </c>
      <c r="D97" s="2" t="n">
        <v>3</v>
      </c>
      <c r="E97" s="2" t="inlineStr">
        <is>
          <t>Payment will be made under:</t>
        </is>
      </c>
      <c r="F97" s="2" t="inlineStr">
        <is>
          <t>Nē</t>
        </is>
      </c>
      <c r="G97" s="2" t="n"/>
    </row>
    <row r="98">
      <c r="A98" s="2" t="inlineStr">
        <is>
          <t>150-5370-10H-P0229-004</t>
        </is>
      </c>
      <c r="B98" s="2" t="inlineStr">
        <is>
          <t>150-5370-10H.pdf</t>
        </is>
      </c>
      <c r="C98" s="2" t="n">
        <v>229</v>
      </c>
      <c r="D98" s="2" t="n">
        <v>4</v>
      </c>
      <c r="E98" s="2" t="inlineStr">
        <is>
          <t>Item P-219-5.1 Recycled Concrete Aggregate Base Course per square yard (square</t>
        </is>
      </c>
      <c r="F98" s="2" t="inlineStr">
        <is>
          <t>Nē</t>
        </is>
      </c>
      <c r="G98" s="2" t="n"/>
    </row>
    <row r="99">
      <c r="A99" s="2" t="inlineStr">
        <is>
          <t>150-5370-10H-P0229-005</t>
        </is>
      </c>
      <c r="B99" s="2" t="inlineStr">
        <is>
          <t>150-5370-10H.pdf</t>
        </is>
      </c>
      <c r="C99" s="2" t="n">
        <v>229</v>
      </c>
      <c r="D99" s="2" t="n">
        <v>5</v>
      </c>
      <c r="E99" s="2" t="inlineStr">
        <is>
          <t>meter)</t>
        </is>
      </c>
      <c r="F99" s="2" t="inlineStr">
        <is>
          <t>Nē</t>
        </is>
      </c>
      <c r="G99" s="2" t="n"/>
    </row>
    <row r="100">
      <c r="A100" s="2" t="inlineStr">
        <is>
          <t>150-5370-10H-P0229-006</t>
        </is>
      </c>
      <c r="B100" s="2" t="inlineStr">
        <is>
          <t>150-5370-10H.pdf</t>
        </is>
      </c>
      <c r="C100" s="2" t="n">
        <v>229</v>
      </c>
      <c r="D100" s="2" t="n">
        <v>6</v>
      </c>
      <c r="E100" s="2" t="inlineStr">
        <is>
          <t>[ Item P-219-5.2 Separation Geotextile per [ square yard ] [ square meter ] ]</t>
        </is>
      </c>
      <c r="F100" s="2" t="inlineStr">
        <is>
          <t>Nē</t>
        </is>
      </c>
      <c r="G100" s="2" t="n"/>
    </row>
    <row r="101">
      <c r="A101" s="2" t="inlineStr">
        <is>
          <t>150-5370-10H-P0229-007</t>
        </is>
      </c>
      <c r="B101" s="2" t="inlineStr">
        <is>
          <t>150-5370-10H.pdf</t>
        </is>
      </c>
      <c r="C101" s="2" t="n">
        <v>229</v>
      </c>
      <c r="D101" s="2" t="n">
        <v>7</v>
      </c>
      <c r="E101" s="2" t="inlineStr">
        <is>
          <t>REFERENCES</t>
        </is>
      </c>
      <c r="F101" s="2" t="inlineStr">
        <is>
          <t>Nē</t>
        </is>
      </c>
      <c r="G101" s="2" t="n"/>
    </row>
    <row r="102">
      <c r="A102" s="2" t="inlineStr">
        <is>
          <t>150-5370-10H-P0229-008</t>
        </is>
      </c>
      <c r="B102" s="2" t="inlineStr">
        <is>
          <t>150-5370-10H.pdf</t>
        </is>
      </c>
      <c r="C102" s="2" t="n">
        <v>229</v>
      </c>
      <c r="D102" s="2" t="n">
        <v>8</v>
      </c>
      <c r="E102" s="2" t="inlineStr">
        <is>
          <t>The publications listed below form a part of this specification to the extent referenced.</t>
        </is>
      </c>
      <c r="F102" s="2" t="inlineStr">
        <is>
          <t>Nē</t>
        </is>
      </c>
      <c r="G102" s="2" t="n"/>
    </row>
    <row r="103">
      <c r="A103" s="2" t="inlineStr">
        <is>
          <t>150-5370-10H-P0229-009</t>
        </is>
      </c>
      <c r="B103" s="2" t="inlineStr">
        <is>
          <t>150-5370-10H.pdf</t>
        </is>
      </c>
      <c r="C103" s="2" t="n">
        <v>229</v>
      </c>
      <c r="D103" s="2" t="n">
        <v>9</v>
      </c>
      <c r="E103" s="2" t="inlineStr">
        <is>
          <t>The publications are referred to within the text by the basic designation only.</t>
        </is>
      </c>
      <c r="F103" s="2" t="inlineStr">
        <is>
          <t>Nē</t>
        </is>
      </c>
      <c r="G103" s="2" t="n"/>
    </row>
    <row r="104">
      <c r="A104" s="2" t="inlineStr">
        <is>
          <t>150-5370-10H-P0229-010</t>
        </is>
      </c>
      <c r="B104" s="2" t="inlineStr">
        <is>
          <t>150-5370-10H.pdf</t>
        </is>
      </c>
      <c r="C104" s="2" t="n">
        <v>229</v>
      </c>
      <c r="D104" s="2" t="n">
        <v>10</v>
      </c>
      <c r="E104" s="2" t="inlineStr">
        <is>
          <t>ASTM International (ASTM)</t>
        </is>
      </c>
      <c r="F104" s="2" t="inlineStr">
        <is>
          <t>Nē</t>
        </is>
      </c>
      <c r="G104" s="2" t="n"/>
    </row>
    <row r="105">
      <c r="A105" s="2" t="inlineStr">
        <is>
          <t>150-5370-10H-P0229-011</t>
        </is>
      </c>
      <c r="B105" s="2" t="inlineStr">
        <is>
          <t>150-5370-10H.pdf</t>
        </is>
      </c>
      <c r="C105" s="2" t="n">
        <v>229</v>
      </c>
      <c r="D105" s="2" t="n">
        <v>11</v>
      </c>
      <c r="E105" s="2" t="inlineStr">
        <is>
          <t>ASTM C29 Standard Test Method for Bulk Density (“Unit Weight”) and Voids in Aggregate</t>
        </is>
      </c>
      <c r="F105" s="2" t="inlineStr">
        <is>
          <t>Nē</t>
        </is>
      </c>
      <c r="G105" s="2" t="n"/>
    </row>
    <row r="106">
      <c r="A106" s="2" t="inlineStr">
        <is>
          <t>150-5370-10H-P0229-012</t>
        </is>
      </c>
      <c r="B106" s="2" t="inlineStr">
        <is>
          <t>150-5370-10H.pdf</t>
        </is>
      </c>
      <c r="C106" s="2" t="n">
        <v>229</v>
      </c>
      <c r="D106" s="2" t="n">
        <v>12</v>
      </c>
      <c r="E106" s="2" t="inlineStr">
        <is>
          <t>ASTM C88 Standard Test Method for Soundness of Aggregates by Use of Sodium Sulfate or Magnesium Sulfate</t>
        </is>
      </c>
      <c r="F106" s="2" t="inlineStr">
        <is>
          <t>Nē</t>
        </is>
      </c>
      <c r="G106" s="2" t="n"/>
    </row>
    <row r="107">
      <c r="A107" s="2" t="inlineStr">
        <is>
          <t>150-5370-10H-P0229-013</t>
        </is>
      </c>
      <c r="B107" s="2" t="inlineStr">
        <is>
          <t>150-5370-10H.pdf</t>
        </is>
      </c>
      <c r="C107" s="2" t="n">
        <v>229</v>
      </c>
      <c r="D107" s="2" t="n">
        <v>13</v>
      </c>
      <c r="E107" s="2" t="inlineStr">
        <is>
          <t>ASTM C117 Standard Test Method for Materials Finer than 75 µm (No.</t>
        </is>
      </c>
      <c r="F107" s="2" t="inlineStr">
        <is>
          <t>Nē</t>
        </is>
      </c>
      <c r="G107" s="2" t="n"/>
    </row>
    <row r="108">
      <c r="A108" s="2" t="inlineStr">
        <is>
          <t>150-5370-10H-P0229-014</t>
        </is>
      </c>
      <c r="B108" s="2" t="inlineStr">
        <is>
          <t>150-5370-10H.pdf</t>
        </is>
      </c>
      <c r="C108" s="2" t="n">
        <v>229</v>
      </c>
      <c r="D108" s="2" t="n">
        <v>14</v>
      </c>
      <c r="E108" s="2" t="inlineStr">
        <is>
          <t>200) Sieve in Mineral Aggregates by Washing</t>
        </is>
      </c>
      <c r="F108" s="2" t="inlineStr">
        <is>
          <t>Nē</t>
        </is>
      </c>
      <c r="G108" s="2" t="n"/>
    </row>
    <row r="109">
      <c r="A109" s="2" t="inlineStr">
        <is>
          <t>150-5370-10H-P0229-015</t>
        </is>
      </c>
      <c r="B109" s="2" t="inlineStr">
        <is>
          <t>150-5370-10H.pdf</t>
        </is>
      </c>
      <c r="C109" s="2" t="n">
        <v>229</v>
      </c>
      <c r="D109" s="2" t="n">
        <v>15</v>
      </c>
      <c r="E109" s="2" t="inlineStr">
        <is>
          <t>ASTM C131 Standard Test Method for Resistance to Degradation of Small-Size Coarse Aggregate by Abrasion and Impact in the Los Angeles Machine</t>
        </is>
      </c>
      <c r="F109" s="2" t="inlineStr">
        <is>
          <t>Nē</t>
        </is>
      </c>
      <c r="G109" s="2" t="n"/>
    </row>
    <row r="110">
      <c r="A110" s="2" t="inlineStr">
        <is>
          <t>150-5370-10H-P0229-016</t>
        </is>
      </c>
      <c r="B110" s="2" t="inlineStr">
        <is>
          <t>150-5370-10H.pdf</t>
        </is>
      </c>
      <c r="C110" s="2" t="n">
        <v>229</v>
      </c>
      <c r="D110" s="2" t="n">
        <v>16</v>
      </c>
      <c r="E110" s="2" t="inlineStr">
        <is>
          <t>ASTM C136 Standard Test Method for Sieve or Screen Analysis of Fine and Coarse Aggregate</t>
        </is>
      </c>
      <c r="F110" s="2" t="inlineStr">
        <is>
          <t>Nē</t>
        </is>
      </c>
      <c r="G110" s="2" t="n"/>
    </row>
    <row r="111">
      <c r="A111" s="2" t="inlineStr">
        <is>
          <t>150-5370-10H-P0229-017</t>
        </is>
      </c>
      <c r="B111" s="2" t="inlineStr">
        <is>
          <t>150-5370-10H.pdf</t>
        </is>
      </c>
      <c r="C111" s="2" t="n">
        <v>229</v>
      </c>
      <c r="D111" s="2" t="n">
        <v>17</v>
      </c>
      <c r="E111" s="2" t="inlineStr">
        <is>
          <t>ASTM D75 Standard Practice for Sampling Aggregates</t>
        </is>
      </c>
      <c r="F111" s="2" t="inlineStr">
        <is>
          <t>Nē</t>
        </is>
      </c>
      <c r="G111" s="2" t="n"/>
    </row>
    <row r="112">
      <c r="A112" s="2" t="inlineStr">
        <is>
          <t>150-5370-10H-P0229-018</t>
        </is>
      </c>
      <c r="B112" s="2" t="inlineStr">
        <is>
          <t>150-5370-10H.pdf</t>
        </is>
      </c>
      <c r="C112" s="2" t="n">
        <v>229</v>
      </c>
      <c r="D112" s="2" t="n">
        <v>18</v>
      </c>
      <c r="E112" s="2" t="inlineStr">
        <is>
          <t>ASTM D698 Standard Test Methods for Laboratory Compaction Characteristics of Soil Using Standard Effort (12,400 ft-lbf/ft3 (600 kN-m/m3))</t>
        </is>
      </c>
      <c r="F112" s="2" t="inlineStr">
        <is>
          <t>Nē</t>
        </is>
      </c>
      <c r="G112" s="2" t="n"/>
    </row>
    <row r="113">
      <c r="A113" s="2" t="inlineStr">
        <is>
          <t>150-5370-10H-P0229-019</t>
        </is>
      </c>
      <c r="B113" s="2" t="inlineStr">
        <is>
          <t>150-5370-10H.pdf</t>
        </is>
      </c>
      <c r="C113" s="2" t="n">
        <v>229</v>
      </c>
      <c r="D113" s="2" t="n">
        <v>19</v>
      </c>
      <c r="E113" s="2" t="inlineStr">
        <is>
          <t>ASTM D1556 Standard Test Method for Density and Unit Weight of Soil in Place by the Sand Cone Method</t>
        </is>
      </c>
      <c r="F113" s="2" t="inlineStr">
        <is>
          <t>Nē</t>
        </is>
      </c>
      <c r="G113" s="2" t="n"/>
    </row>
    <row r="114">
      <c r="A114" s="2" t="inlineStr">
        <is>
          <t>150-5370-10H-P0229-020</t>
        </is>
      </c>
      <c r="B114" s="2" t="inlineStr">
        <is>
          <t>150-5370-10H.pdf</t>
        </is>
      </c>
      <c r="C114" s="2" t="n">
        <v>229</v>
      </c>
      <c r="D114" s="2" t="n">
        <v>20</v>
      </c>
      <c r="E114" s="2" t="inlineStr">
        <is>
          <t>ASTM D1557 Standard Test Methods for Laboratory Compaction Characteristics of Soil Using Modified Effort (56,000 ft-lbf/ft3 (2700 kN-m/m3))</t>
        </is>
      </c>
      <c r="F114" s="2" t="inlineStr">
        <is>
          <t>Nē</t>
        </is>
      </c>
      <c r="G114" s="2" t="n"/>
    </row>
    <row r="115">
      <c r="A115" s="2" t="inlineStr">
        <is>
          <t>150-5370-10H-P0229-021</t>
        </is>
      </c>
      <c r="B115" s="2" t="inlineStr">
        <is>
          <t>150-5370-10H.pdf</t>
        </is>
      </c>
      <c r="C115" s="2" t="n">
        <v>229</v>
      </c>
      <c r="D115" s="2" t="n">
        <v>21</v>
      </c>
      <c r="E115" s="2" t="inlineStr">
        <is>
          <t>ASTM D2419 Standard Test Method for Sand Equivalent Value of Soils and Fine Aggregate</t>
        </is>
      </c>
      <c r="F115" s="2" t="inlineStr">
        <is>
          <t>Nē</t>
        </is>
      </c>
      <c r="G115" s="2" t="n"/>
    </row>
    <row r="116">
      <c r="A116" s="2" t="inlineStr">
        <is>
          <t>150-5370-10H-P0229-022</t>
        </is>
      </c>
      <c r="B116" s="2" t="inlineStr">
        <is>
          <t>150-5370-10H.pdf</t>
        </is>
      </c>
      <c r="C116" s="2" t="n">
        <v>229</v>
      </c>
      <c r="D116" s="2" t="n">
        <v>22</v>
      </c>
      <c r="E116" s="2" t="inlineStr">
        <is>
          <t>ASTM D3665 Standard Practice for Random Sampling of Construction Materials</t>
        </is>
      </c>
      <c r="F116" s="2" t="inlineStr">
        <is>
          <t>Nē</t>
        </is>
      </c>
      <c r="G116" s="2" t="n"/>
    </row>
    <row r="117">
      <c r="A117" s="2" t="inlineStr">
        <is>
          <t>150-5370-10H-P0229-023</t>
        </is>
      </c>
      <c r="B117" s="2" t="inlineStr">
        <is>
          <t>150-5370-10H.pdf</t>
        </is>
      </c>
      <c r="C117" s="2" t="n">
        <v>229</v>
      </c>
      <c r="D117" s="2" t="n">
        <v>23</v>
      </c>
      <c r="E117" s="2" t="inlineStr">
        <is>
          <t>ASTM D4318 Standard Test Methods for Liquid Limit, Plastic Limit, and Plasticity Index of Soils</t>
        </is>
      </c>
      <c r="F117" s="2" t="inlineStr">
        <is>
          <t>Nē</t>
        </is>
      </c>
      <c r="G117" s="2" t="n"/>
    </row>
    <row r="118">
      <c r="A118" s="2" t="inlineStr">
        <is>
          <t>150-5370-10H-P0229-024</t>
        </is>
      </c>
      <c r="B118" s="2" t="inlineStr">
        <is>
          <t>150-5370-10H.pdf</t>
        </is>
      </c>
      <c r="C118" s="2" t="n">
        <v>229</v>
      </c>
      <c r="D118" s="2" t="n">
        <v>24</v>
      </c>
      <c r="E118" s="2" t="inlineStr">
        <is>
          <t>ASTM D4643 Standard Test Method for Determination of Water (Moisture) Content of Soil by Microwave Oven Heating</t>
        </is>
      </c>
      <c r="F118" s="2" t="inlineStr">
        <is>
          <t>Nē</t>
        </is>
      </c>
      <c r="G118" s="2" t="n"/>
    </row>
    <row r="119">
      <c r="A119" s="2" t="inlineStr">
        <is>
          <t>150-5370-10H-P0229-025</t>
        </is>
      </c>
      <c r="B119" s="2" t="inlineStr">
        <is>
          <t>150-5370-10H.pdf</t>
        </is>
      </c>
      <c r="C119" s="2" t="n">
        <v>229</v>
      </c>
      <c r="D119" s="2" t="n">
        <v>25</v>
      </c>
      <c r="E119" s="2" t="inlineStr">
        <is>
          <t>ASTM D4791 Standard Test Method for Flat Particles, Elongated Particles, or Flat and Elongated Particles in Coarse Aggregate</t>
        </is>
      </c>
      <c r="F119" s="2" t="inlineStr">
        <is>
          <t>Nē</t>
        </is>
      </c>
      <c r="G119" s="2" t="n"/>
    </row>
    <row r="120">
      <c r="A120" s="2" t="inlineStr">
        <is>
          <t>150-5370-10H-P0229-026</t>
        </is>
      </c>
      <c r="B120" s="2" t="inlineStr">
        <is>
          <t>150-5370-10H.pdf</t>
        </is>
      </c>
      <c r="C120" s="2" t="n">
        <v>229</v>
      </c>
      <c r="D120" s="2" t="n">
        <v>26</v>
      </c>
      <c r="E120" s="2" t="inlineStr">
        <is>
          <t>ASTM D6938 Standard Test Method for In-Place Density and Water Content of Soil and Soil-Aggregate by Nuclear Methods (Shallow Depth)</t>
        </is>
      </c>
      <c r="F120" s="2" t="inlineStr">
        <is>
          <t>Nē</t>
        </is>
      </c>
      <c r="G120" s="2" t="n"/>
    </row>
    <row r="121">
      <c r="A121" s="2" t="inlineStr">
        <is>
          <t>150-5370-10H-P0229-027</t>
        </is>
      </c>
      <c r="B121" s="2" t="inlineStr">
        <is>
          <t>150-5370-10H.pdf</t>
        </is>
      </c>
      <c r="C121" s="2" t="n">
        <v>229</v>
      </c>
      <c r="D121" s="2" t="n">
        <v>27</v>
      </c>
      <c r="E121" s="2" t="inlineStr">
        <is>
          <t>Item P-219 Recycled Concrete Aggregate Base Course 221</t>
        </is>
      </c>
      <c r="F121" s="2" t="inlineStr">
        <is>
          <t>Nē</t>
        </is>
      </c>
      <c r="G121" s="2" t="n"/>
    </row>
    <row r="122">
      <c r="A122" s="2" t="inlineStr">
        <is>
          <t>150-5370-10H-P0246-001</t>
        </is>
      </c>
      <c r="B122" s="2" t="inlineStr">
        <is>
          <t>150-5370-10H.pdf</t>
        </is>
      </c>
      <c r="C122" s="2" t="n">
        <v>246</v>
      </c>
      <c r="D122" s="2" t="n">
        <v>1</v>
      </c>
      <c r="E122" s="2" t="inlineStr">
        <is>
          <t>12/21/2018 AC 150/5370-10H</t>
        </is>
      </c>
      <c r="F122" s="2" t="inlineStr">
        <is>
          <t>Nē</t>
        </is>
      </c>
      <c r="G122" s="2" t="n"/>
    </row>
    <row r="123">
      <c r="A123" s="2" t="inlineStr">
        <is>
          <t>150-5370-10H-P0246-002</t>
        </is>
      </c>
      <c r="B123" s="2" t="inlineStr">
        <is>
          <t>150-5370-10H.pdf</t>
        </is>
      </c>
      <c r="C123" s="2" t="n">
        <v>246</v>
      </c>
      <c r="D123" s="2" t="n">
        <v>2</v>
      </c>
      <c r="E123" s="2" t="inlineStr">
        <is>
          <t>offset ] [ a 2 foot (600 mm) minimum offset ] from planned joints in any overlying layer.</t>
        </is>
      </c>
      <c r="F123" s="2" t="inlineStr">
        <is>
          <t>Nē</t>
        </is>
      </c>
      <c r="G123" s="2" t="n"/>
    </row>
    <row r="124">
      <c r="A124" s="2" t="inlineStr">
        <is>
          <t>150-5370-10H-P0246-003</t>
        </is>
      </c>
      <c r="B124" s="2" t="inlineStr">
        <is>
          <t>150-5370-10H.pdf</t>
        </is>
      </c>
      <c r="C124" s="2" t="n">
        <v>246</v>
      </c>
      <c r="D124" s="2" t="n">
        <v>3</v>
      </c>
      <c r="E124" s="2" t="inlineStr">
        <is>
          <t>Placement of the material shall begin along the centerline of the pavement on a crowned section or on the highest elevation contour of a pavement with variable cross slope.</t>
        </is>
      </c>
      <c r="F124" s="2" t="inlineStr">
        <is>
          <t>Nē</t>
        </is>
      </c>
      <c r="G124" s="2" t="n"/>
    </row>
    <row r="125">
      <c r="A125" s="2" t="inlineStr">
        <is>
          <t>150-5370-10H-P0246-004</t>
        </is>
      </c>
      <c r="B125" s="2" t="inlineStr">
        <is>
          <t>150-5370-10H.pdf</t>
        </is>
      </c>
      <c r="C125" s="2" t="n">
        <v>246</v>
      </c>
      <c r="D125" s="2" t="n">
        <v>4</v>
      </c>
      <c r="E125" s="2" t="inlineStr">
        <is>
          <t>The Contractor shall install the CTB layer in single compacted layer no greater than [ 6 inches (150 mm) ] thick.</t>
        </is>
      </c>
      <c r="F125" s="2" t="inlineStr">
        <is>
          <t>Nē</t>
        </is>
      </c>
      <c r="G125" s="2" t="n"/>
    </row>
    <row r="126">
      <c r="A126" s="2" t="inlineStr">
        <is>
          <t>150-5370-10H-P0246-005</t>
        </is>
      </c>
      <c r="B126" s="2" t="inlineStr">
        <is>
          <t>150-5370-10H.pdf</t>
        </is>
      </c>
      <c r="C126" s="2" t="n">
        <v>246</v>
      </c>
      <c r="D126" s="2" t="n">
        <v>5</v>
      </c>
      <c r="E126" s="2" t="inlineStr">
        <is>
          <t>When concrete surface layer, no longitudinal joint offset.</t>
        </is>
      </c>
      <c r="F126" s="2" t="inlineStr">
        <is>
          <t>Nē</t>
        </is>
      </c>
      <c r="G126" s="2" t="n"/>
    </row>
    <row r="127">
      <c r="A127" s="2" t="inlineStr">
        <is>
          <t>150-5370-10H-P0246-006</t>
        </is>
      </c>
      <c r="B127" s="2" t="inlineStr">
        <is>
          <t>150-5370-10H.pdf</t>
        </is>
      </c>
      <c r="C127" s="2" t="n">
        <v>246</v>
      </c>
      <c r="D127" s="2" t="n">
        <v>6</v>
      </c>
      <c r="E127" s="2" t="inlineStr">
        <is>
          <t>When asphalt surface layer, 2 foot (600 mm) minimum offset.</t>
        </is>
      </c>
      <c r="F127" s="2" t="inlineStr">
        <is>
          <t>Nē</t>
        </is>
      </c>
      <c r="G127" s="2" t="n"/>
    </row>
    <row r="128">
      <c r="A128" s="2" t="inlineStr">
        <is>
          <t>150-5370-10H-P0246-007</t>
        </is>
      </c>
      <c r="B128" s="2" t="inlineStr">
        <is>
          <t>150-5370-10H.pdf</t>
        </is>
      </c>
      <c r="C128" s="2" t="n">
        <v>246</v>
      </c>
      <c r="D128" s="2" t="n">
        <v>7</v>
      </c>
      <c r="E128" s="2" t="inlineStr">
        <is>
          <t>Insert CTB thickness per design analysis.</t>
        </is>
      </c>
      <c r="F128" s="2" t="inlineStr">
        <is>
          <t>Nē</t>
        </is>
      </c>
      <c r="G128" s="2" t="n"/>
    </row>
    <row r="129">
      <c r="A129" s="2" t="inlineStr">
        <is>
          <t>150-5370-10H-P0246-008</t>
        </is>
      </c>
      <c r="B129" s="2" t="inlineStr">
        <is>
          <t>150-5370-10H.pdf</t>
        </is>
      </c>
      <c r="C129" s="2" t="n">
        <v>246</v>
      </c>
      <c r="D129" s="2" t="n">
        <v>8</v>
      </c>
      <c r="E129" s="2" t="inlineStr">
        <is>
          <t>Thicknesses greater than 6 inches (150 mm) require FAA approval.</t>
        </is>
      </c>
      <c r="F129" s="2" t="inlineStr">
        <is>
          <t>Nē</t>
        </is>
      </c>
      <c r="G129" s="2" t="n"/>
    </row>
    <row r="130">
      <c r="A130" s="2" t="inlineStr">
        <is>
          <t>150-5370-10H-P0246-009</t>
        </is>
      </c>
      <c r="B130" s="2" t="inlineStr">
        <is>
          <t>150-5370-10H.pdf</t>
        </is>
      </c>
      <c r="C130" s="2" t="n">
        <v>246</v>
      </c>
      <c r="D130" s="2" t="n">
        <v>9</v>
      </c>
      <c r="E130" s="2" t="inlineStr">
        <is>
          <t>304-5.7 Compaction.</t>
        </is>
      </c>
      <c r="F130" s="2" t="inlineStr">
        <is>
          <t>Nē</t>
        </is>
      </c>
      <c r="G130" s="2" t="n"/>
    </row>
    <row r="131">
      <c r="A131" s="2" t="inlineStr">
        <is>
          <t>150-5370-10H-P0246-010</t>
        </is>
      </c>
      <c r="B131" s="2" t="inlineStr">
        <is>
          <t>150-5370-10H.pdf</t>
        </is>
      </c>
      <c r="C131" s="2" t="n">
        <v>246</v>
      </c>
      <c r="D131" s="2" t="n">
        <v>10</v>
      </c>
      <c r="E131" s="2" t="inlineStr">
        <is>
          <t>All compaction operations shall be completed within 2 hours from the start of mixing.</t>
        </is>
      </c>
      <c r="F131" s="2" t="inlineStr">
        <is>
          <t>Nē</t>
        </is>
      </c>
      <c r="G131" s="2" t="n"/>
    </row>
    <row r="132">
      <c r="A132" s="2" t="inlineStr">
        <is>
          <t>150-5370-10H-P0246-011</t>
        </is>
      </c>
      <c r="B132" s="2" t="inlineStr">
        <is>
          <t>150-5370-10H.pdf</t>
        </is>
      </c>
      <c r="C132" s="2" t="n">
        <v>246</v>
      </c>
      <c r="D132" s="2" t="n">
        <v>11</v>
      </c>
      <c r="E132" s="2" t="inlineStr">
        <is>
          <t>The field density of the compacted mixture shall be at least [ 98% ] of the maximum density in accordance with paragraph 304-6.1a.</t>
        </is>
      </c>
      <c r="F132" s="2" t="inlineStr">
        <is>
          <t>Nē</t>
        </is>
      </c>
      <c r="G132" s="2" t="n"/>
    </row>
    <row r="133">
      <c r="A133" s="2" t="inlineStr">
        <is>
          <t>150-5370-10H-P0246-012</t>
        </is>
      </c>
      <c r="B133" s="2" t="inlineStr">
        <is>
          <t>150-5370-10H.pdf</t>
        </is>
      </c>
      <c r="C133" s="2" t="n">
        <v>246</v>
      </c>
      <c r="D133" s="2" t="n">
        <v>12</v>
      </c>
      <c r="E133" s="2" t="inlineStr">
        <is>
          <t>At the start of compaction, the moisture content shall be within ±2 percentage points of the specified optimum moisture.</t>
        </is>
      </c>
      <c r="F133" s="2" t="inlineStr">
        <is>
          <t>Nē</t>
        </is>
      </c>
      <c r="G133" s="2" t="n"/>
    </row>
    <row r="134">
      <c r="A134" s="2" t="inlineStr">
        <is>
          <t>150-5370-10H-P0246-013</t>
        </is>
      </c>
      <c r="B134" s="2" t="inlineStr">
        <is>
          <t>150-5370-10H.pdf</t>
        </is>
      </c>
      <c r="C134" s="2" t="n">
        <v>246</v>
      </c>
      <c r="D134" s="2" t="n">
        <v>13</v>
      </c>
      <c r="E134" s="2" t="inlineStr">
        <is>
          <t>Maximum density refers to maximum dry density at optimum moisture content unless otherwise specified.</t>
        </is>
      </c>
      <c r="F134" s="2" t="inlineStr">
        <is>
          <t>Nē</t>
        </is>
      </c>
      <c r="G134" s="2" t="n"/>
    </row>
    <row r="135">
      <c r="A135" s="2" t="inlineStr">
        <is>
          <t>150-5370-10H-P0246-014</t>
        </is>
      </c>
      <c r="B135" s="2" t="inlineStr">
        <is>
          <t>150-5370-10H.pdf</t>
        </is>
      </c>
      <c r="C135" s="2" t="n">
        <v>246</v>
      </c>
      <c r="D135" s="2" t="n">
        <v>14</v>
      </c>
      <c r="E135" s="2" t="inlineStr">
        <is>
          <t>304-5.8 Finishing.</t>
        </is>
      </c>
      <c r="F135" s="2" t="inlineStr">
        <is>
          <t>Nē</t>
        </is>
      </c>
      <c r="G135" s="2" t="n"/>
    </row>
    <row r="136">
      <c r="A136" s="2" t="inlineStr">
        <is>
          <t>150-5370-10H-P0246-015</t>
        </is>
      </c>
      <c r="B136" s="2" t="inlineStr">
        <is>
          <t>150-5370-10H.pdf</t>
        </is>
      </c>
      <c r="C136" s="2" t="n">
        <v>246</v>
      </c>
      <c r="D136" s="2" t="n">
        <v>15</v>
      </c>
      <c r="E136" s="2" t="inlineStr">
        <is>
          <t>After compaction, shape the surface of the CTB layer to the specified lines, grades, and cross-section.</t>
        </is>
      </c>
      <c r="F136" s="2" t="inlineStr">
        <is>
          <t>Nē</t>
        </is>
      </c>
      <c r="G136" s="2" t="n"/>
    </row>
    <row r="137">
      <c r="A137" s="2" t="inlineStr">
        <is>
          <t>150-5370-10H-P0246-016</t>
        </is>
      </c>
      <c r="B137" s="2" t="inlineStr">
        <is>
          <t>150-5370-10H.pdf</t>
        </is>
      </c>
      <c r="C137" s="2" t="n">
        <v>246</v>
      </c>
      <c r="D137" s="2" t="n">
        <v>16</v>
      </c>
      <c r="E137" s="2" t="inlineStr">
        <is>
          <t>During the finishing process, the surface shall be kept moist by means of fog-type sprayers.</t>
        </is>
      </c>
      <c r="F137" s="2" t="inlineStr">
        <is>
          <t>Nē</t>
        </is>
      </c>
      <c r="G137" s="2" t="n"/>
    </row>
    <row r="138">
      <c r="A138" s="2" t="inlineStr">
        <is>
          <t>150-5370-10H-P0246-017</t>
        </is>
      </c>
      <c r="B138" s="2" t="inlineStr">
        <is>
          <t>150-5370-10H.pdf</t>
        </is>
      </c>
      <c r="C138" s="2" t="n">
        <v>246</v>
      </c>
      <c r="D138" s="2" t="n">
        <v>17</v>
      </c>
      <c r="E138" s="2" t="inlineStr">
        <is>
          <t>Compaction and finishing shall produce a smooth, dense surface, free of ruts, cracks, ridges, and loose material.</t>
        </is>
      </c>
      <c r="F138" s="2" t="inlineStr">
        <is>
          <t>Nē</t>
        </is>
      </c>
      <c r="G138" s="2" t="n"/>
    </row>
    <row r="139">
      <c r="A139" s="2" t="inlineStr">
        <is>
          <t>150-5370-10H-P0246-018</t>
        </is>
      </c>
      <c r="B139" s="2" t="inlineStr">
        <is>
          <t>150-5370-10H.pdf</t>
        </is>
      </c>
      <c r="C139" s="2" t="n">
        <v>246</v>
      </c>
      <c r="D139" s="2" t="n">
        <v>18</v>
      </c>
      <c r="E139" s="2" t="inlineStr">
        <is>
          <t>304-5.9 Construction limitations.</t>
        </is>
      </c>
      <c r="F139" s="2" t="inlineStr">
        <is>
          <t>Nē</t>
        </is>
      </c>
      <c r="G139" s="2" t="n"/>
    </row>
    <row r="140">
      <c r="A140" s="2" t="inlineStr">
        <is>
          <t>150-5370-10H-P0246-019</t>
        </is>
      </c>
      <c r="B140" s="2" t="inlineStr">
        <is>
          <t>150-5370-10H.pdf</t>
        </is>
      </c>
      <c r="C140" s="2" t="n">
        <v>246</v>
      </c>
      <c r="D140" s="2" t="n">
        <v>19</v>
      </c>
      <c r="E140" s="2" t="inlineStr">
        <is>
          <t>All placement, compaction, and finishing operations shall be completed within two (2) hours from the start of mixing.</t>
        </is>
      </c>
      <c r="F140" s="2" t="inlineStr">
        <is>
          <t>Nē</t>
        </is>
      </c>
      <c r="G140" s="2" t="n"/>
    </row>
    <row r="141">
      <c r="A141" s="2" t="inlineStr">
        <is>
          <t>150-5370-10H-P0246-020</t>
        </is>
      </c>
      <c r="B141" s="2" t="inlineStr">
        <is>
          <t>150-5370-10H.pdf</t>
        </is>
      </c>
      <c r="C141" s="2" t="n">
        <v>246</v>
      </c>
      <c r="D141" s="2" t="n">
        <v>20</v>
      </c>
      <c r="E141" s="2" t="inlineStr">
        <is>
          <t>Material not completed within the 2-hour time limit shall be removed and replaced at the Contractor’s expense.</t>
        </is>
      </c>
      <c r="F141" s="2" t="inlineStr">
        <is>
          <t>Nē</t>
        </is>
      </c>
      <c r="G141" s="2" t="n"/>
    </row>
    <row r="142">
      <c r="A142" s="2" t="inlineStr">
        <is>
          <t>150-5370-10H-P0246-021</t>
        </is>
      </c>
      <c r="B142" s="2" t="inlineStr">
        <is>
          <t>150-5370-10H.pdf</t>
        </is>
      </c>
      <c r="C142" s="2" t="n">
        <v>246</v>
      </c>
      <c r="D142" s="2" t="n">
        <v>21</v>
      </c>
      <c r="E142" s="2" t="inlineStr">
        <is>
          <t>At the end of each day’s construction and/or when operations are interrupted for more than 30 minutes, a straight transverse construction joint shall be formed by a header or by cutting back into the compacted material to form a true vertical face.</t>
        </is>
      </c>
      <c r="F142" s="2" t="inlineStr">
        <is>
          <t>Nē</t>
        </is>
      </c>
      <c r="G142" s="2" t="n"/>
    </row>
    <row r="143">
      <c r="A143" s="2" t="inlineStr">
        <is>
          <t>150-5370-10H-P0246-022</t>
        </is>
      </c>
      <c r="B143" s="2" t="inlineStr">
        <is>
          <t>150-5370-10H.pdf</t>
        </is>
      </c>
      <c r="C143" s="2" t="n">
        <v>246</v>
      </c>
      <c r="D143" s="2" t="n">
        <v>22</v>
      </c>
      <c r="E143" s="2" t="inlineStr">
        <is>
          <t>Completed portions may be opened to light traffic, if approved by the RPR, and provided the curing is not impaired.</t>
        </is>
      </c>
      <c r="F143" s="2" t="inlineStr">
        <is>
          <t>Nē</t>
        </is>
      </c>
      <c r="G143" s="2" t="n"/>
    </row>
    <row r="144">
      <c r="A144" s="2" t="inlineStr">
        <is>
          <t>150-5370-10H-P0246-023</t>
        </is>
      </c>
      <c r="B144" s="2" t="inlineStr">
        <is>
          <t>150-5370-10H.pdf</t>
        </is>
      </c>
      <c r="C144" s="2" t="n">
        <v>246</v>
      </c>
      <c r="D144" s="2" t="n">
        <v>23</v>
      </c>
      <c r="E144" s="2" t="inlineStr">
        <is>
          <t>304-5.10 Curing.</t>
        </is>
      </c>
      <c r="F144" s="2" t="inlineStr">
        <is>
          <t>Nē</t>
        </is>
      </c>
      <c r="G144" s="2" t="n"/>
    </row>
    <row r="145">
      <c r="A145" s="2" t="inlineStr">
        <is>
          <t>150-5370-10H-P0246-024</t>
        </is>
      </c>
      <c r="B145" s="2" t="inlineStr">
        <is>
          <t>150-5370-10H.pdf</t>
        </is>
      </c>
      <c r="C145" s="2" t="n">
        <v>246</v>
      </c>
      <c r="D145" s="2" t="n">
        <v>24</v>
      </c>
      <c r="E145" s="2" t="inlineStr">
        <is>
          <t>The compacted and finished CTB shall be cured with the approved curing agents as soon as possible, but in no case later than two (2) hours after completion of the finishing operations.</t>
        </is>
      </c>
      <c r="F145" s="2" t="inlineStr">
        <is>
          <t>Nē</t>
        </is>
      </c>
      <c r="G145" s="2" t="n"/>
    </row>
    <row r="146">
      <c r="A146" s="2" t="inlineStr">
        <is>
          <t>150-5370-10H-P0246-025</t>
        </is>
      </c>
      <c r="B146" s="2" t="inlineStr">
        <is>
          <t>150-5370-10H.pdf</t>
        </is>
      </c>
      <c r="C146" s="2" t="n">
        <v>246</v>
      </c>
      <c r="D146" s="2" t="n">
        <v>25</v>
      </c>
      <c r="E146" s="2" t="inlineStr">
        <is>
          <t>Curing material(s) shall meet the requirements in paragraph 304-2.7.</t>
        </is>
      </c>
      <c r="F146" s="2" t="inlineStr">
        <is>
          <t>Nē</t>
        </is>
      </c>
      <c r="G146" s="2" t="n"/>
    </row>
    <row r="147">
      <c r="A147" s="2" t="inlineStr">
        <is>
          <t>150-5370-10H-P0246-026</t>
        </is>
      </c>
      <c r="B147" s="2" t="inlineStr">
        <is>
          <t>150-5370-10H.pdf</t>
        </is>
      </c>
      <c r="C147" s="2" t="n">
        <v>246</v>
      </c>
      <c r="D147" s="2" t="n">
        <v>26</v>
      </c>
      <c r="E147" s="2" t="inlineStr">
        <is>
          <t>The layer shall be kept moist using a moisture-retaining cover or a light application of water until the curing material is applied.</t>
        </is>
      </c>
      <c r="F147" s="2" t="inlineStr">
        <is>
          <t>Nē</t>
        </is>
      </c>
      <c r="G147" s="2" t="n"/>
    </row>
    <row r="148">
      <c r="A148" s="2" t="inlineStr">
        <is>
          <t>150-5370-10H-P0246-027</t>
        </is>
      </c>
      <c r="B148" s="2" t="inlineStr">
        <is>
          <t>150-5370-10H.pdf</t>
        </is>
      </c>
      <c r="C148" s="2" t="n">
        <v>246</v>
      </c>
      <c r="D148" s="2" t="n">
        <v>27</v>
      </c>
      <c r="E148" s="2" t="inlineStr">
        <is>
          <t>[ The entire surface of the CTB layer shall be uniformly sprayed with an asphalt emulsion at a rate of between 0.15 and 0.30 gallons per square yard (0.7 and 1.4 l/m2); the exact temperature and rate of application being that required to achieve complete and uniform coverage without runoff.</t>
        </is>
      </c>
      <c r="F148" s="2" t="inlineStr">
        <is>
          <t>Nē</t>
        </is>
      </c>
      <c r="G148" s="2" t="n"/>
    </row>
    <row r="149">
      <c r="A149" s="2" t="inlineStr">
        <is>
          <t>150-5370-10H-P0246-028</t>
        </is>
      </c>
      <c r="B149" s="2" t="inlineStr">
        <is>
          <t>150-5370-10H.pdf</t>
        </is>
      </c>
      <c r="C149" s="2" t="n">
        <v>246</v>
      </c>
      <c r="D149" s="2" t="n">
        <v>28</v>
      </c>
      <c r="E149" s="2" t="inlineStr">
        <is>
          <t>Apply sand at [ ] pounds per square yard (kg/m2) to treated surfaces requiring protection from traffic. ]</t>
        </is>
      </c>
      <c r="F149" s="2" t="inlineStr">
        <is>
          <t>Nē</t>
        </is>
      </c>
      <c r="G149" s="2" t="n"/>
    </row>
    <row r="150">
      <c r="A150" s="2" t="inlineStr">
        <is>
          <t>150-5370-10H-P0246-029</t>
        </is>
      </c>
      <c r="B150" s="2" t="inlineStr">
        <is>
          <t>150-5370-10H.pdf</t>
        </is>
      </c>
      <c r="C150" s="2" t="n">
        <v>246</v>
      </c>
      <c r="D150" s="2" t="n">
        <v>29</v>
      </c>
      <c r="E150" s="2" t="inlineStr">
        <is>
          <t>[ The surface of the CTB layer shall be uniformly sprayed with a liquid membrane-forming curing compound at the rate of one gallon (3.8 liters) to not more than 100 square feet (9.3 m2) to obtain a uniform cover over the surface.</t>
        </is>
      </c>
      <c r="F150" s="2" t="inlineStr">
        <is>
          <t>Nē</t>
        </is>
      </c>
      <c r="G150" s="2" t="n"/>
    </row>
    <row r="151">
      <c r="A151" s="2" t="inlineStr">
        <is>
          <t>150-5370-10H-P0246-030</t>
        </is>
      </c>
      <c r="B151" s="2" t="inlineStr">
        <is>
          <t>150-5370-10H.pdf</t>
        </is>
      </c>
      <c r="C151" s="2" t="n">
        <v>246</v>
      </c>
      <c r="D151" s="2" t="n">
        <v>30</v>
      </c>
      <c r="E151" s="2" t="inlineStr">
        <is>
          <t>Hand spraying of odd widths or shapes and CTB surfaces exposed by the removal of forms is permitted. ]</t>
        </is>
      </c>
      <c r="F151" s="2" t="inlineStr">
        <is>
          <t>Nē</t>
        </is>
      </c>
      <c r="G151" s="2" t="n"/>
    </row>
    <row r="152">
      <c r="A152" s="2" t="inlineStr">
        <is>
          <t>150-5370-10H-P0246-031</t>
        </is>
      </c>
      <c r="B152" s="2" t="inlineStr">
        <is>
          <t>150-5370-10H.pdf</t>
        </is>
      </c>
      <c r="C152" s="2" t="n">
        <v>246</v>
      </c>
      <c r="D152" s="2" t="n">
        <v>31</v>
      </c>
      <c r="E152" s="2" t="inlineStr">
        <is>
          <t>Item P-304 Cement-Treated Aggregate Base Course (CTB) 238</t>
        </is>
      </c>
      <c r="F152" s="2" t="inlineStr">
        <is>
          <t>Nē</t>
        </is>
      </c>
      <c r="G152" s="2" t="n"/>
    </row>
    <row r="153">
      <c r="A153" s="2" t="inlineStr">
        <is>
          <t>150-5370-10H-P0328-001</t>
        </is>
      </c>
      <c r="B153" s="2" t="inlineStr">
        <is>
          <t>150-5370-10H.pdf</t>
        </is>
      </c>
      <c r="C153" s="2" t="n">
        <v>328</v>
      </c>
      <c r="D153" s="2" t="n">
        <v>1</v>
      </c>
      <c r="E153" s="2" t="inlineStr">
        <is>
          <t>12/21/2018 AC 150/5370-10H</t>
        </is>
      </c>
      <c r="F153" s="2" t="inlineStr">
        <is>
          <t>Nē</t>
        </is>
      </c>
      <c r="G153" s="2" t="n"/>
    </row>
    <row r="154">
      <c r="A154" s="2" t="inlineStr">
        <is>
          <t>150-5370-10H-P0328-002</t>
        </is>
      </c>
      <c r="B154" s="2" t="inlineStr">
        <is>
          <t>150-5370-10H.pdf</t>
        </is>
      </c>
      <c r="C154" s="2" t="n">
        <v>328</v>
      </c>
      <c r="D154" s="2" t="n">
        <v>2</v>
      </c>
      <c r="E154" s="2" t="inlineStr">
        <is>
          <t>ASTM D2489 Standard Practice for Estimating Degree of Particle Coating of Bituminous-Aggregate Mixtures</t>
        </is>
      </c>
      <c r="F154" s="2" t="inlineStr">
        <is>
          <t>Nē</t>
        </is>
      </c>
      <c r="G154" s="2" t="n"/>
    </row>
    <row r="155">
      <c r="A155" s="2" t="inlineStr">
        <is>
          <t>150-5370-10H-P0328-003</t>
        </is>
      </c>
      <c r="B155" s="2" t="inlineStr">
        <is>
          <t>150-5370-10H.pdf</t>
        </is>
      </c>
      <c r="C155" s="2" t="n">
        <v>328</v>
      </c>
      <c r="D155" s="2" t="n">
        <v>3</v>
      </c>
      <c r="E155" s="2" t="inlineStr">
        <is>
          <t>ASTM D2726 Standard Test Method for Bulk Specific Gravity and Density of Non- Absorptive Compacted Bituminous Mixtures</t>
        </is>
      </c>
      <c r="F155" s="2" t="inlineStr">
        <is>
          <t>Nē</t>
        </is>
      </c>
      <c r="G155" s="2" t="n"/>
    </row>
    <row r="156">
      <c r="A156" s="2" t="inlineStr">
        <is>
          <t>150-5370-10H-P0328-004</t>
        </is>
      </c>
      <c r="B156" s="2" t="inlineStr">
        <is>
          <t>150-5370-10H.pdf</t>
        </is>
      </c>
      <c r="C156" s="2" t="n">
        <v>328</v>
      </c>
      <c r="D156" s="2" t="n">
        <v>4</v>
      </c>
      <c r="E156" s="2" t="inlineStr">
        <is>
          <t>ASTM D2950 Standard Test Method for Density of Bituminous Concrete in Place by Nuclear Methods</t>
        </is>
      </c>
      <c r="F156" s="2" t="inlineStr">
        <is>
          <t>Nē</t>
        </is>
      </c>
      <c r="G156" s="2" t="n"/>
    </row>
    <row r="157">
      <c r="A157" s="2" t="inlineStr">
        <is>
          <t>150-5370-10H-P0328-005</t>
        </is>
      </c>
      <c r="B157" s="2" t="inlineStr">
        <is>
          <t>150-5370-10H.pdf</t>
        </is>
      </c>
      <c r="C157" s="2" t="n">
        <v>328</v>
      </c>
      <c r="D157" s="2" t="n">
        <v>5</v>
      </c>
      <c r="E157" s="2" t="inlineStr">
        <is>
          <t>ASTM D3203 Standard Test Method for Percent Air Voids in Compacted Dense and Open Bituminous Paving Mixtures</t>
        </is>
      </c>
      <c r="F157" s="2" t="inlineStr">
        <is>
          <t>Nē</t>
        </is>
      </c>
      <c r="G157" s="2" t="n"/>
    </row>
    <row r="158">
      <c r="A158" s="2" t="inlineStr">
        <is>
          <t>150-5370-10H-P0328-006</t>
        </is>
      </c>
      <c r="B158" s="2" t="inlineStr">
        <is>
          <t>150-5370-10H.pdf</t>
        </is>
      </c>
      <c r="C158" s="2" t="n">
        <v>328</v>
      </c>
      <c r="D158" s="2" t="n">
        <v>6</v>
      </c>
      <c r="E158" s="2" t="inlineStr">
        <is>
          <t>ASTM D3381 Standard Specification for Viscosity-Graded Asphalt Cement for Use in Pavement Construction</t>
        </is>
      </c>
      <c r="F158" s="2" t="inlineStr">
        <is>
          <t>Nē</t>
        </is>
      </c>
      <c r="G158" s="2" t="n"/>
    </row>
    <row r="159">
      <c r="A159" s="2" t="inlineStr">
        <is>
          <t>150-5370-10H-P0328-007</t>
        </is>
      </c>
      <c r="B159" s="2" t="inlineStr">
        <is>
          <t>150-5370-10H.pdf</t>
        </is>
      </c>
      <c r="C159" s="2" t="n">
        <v>328</v>
      </c>
      <c r="D159" s="2" t="n">
        <v>7</v>
      </c>
      <c r="E159" s="2" t="inlineStr">
        <is>
          <t>ASTM D3665 Standard Practice for Random Sampling of Construction Materials</t>
        </is>
      </c>
      <c r="F159" s="2" t="inlineStr">
        <is>
          <t>Nē</t>
        </is>
      </c>
      <c r="G159" s="2" t="n"/>
    </row>
    <row r="160">
      <c r="A160" s="2" t="inlineStr">
        <is>
          <t>150-5370-10H-P0328-008</t>
        </is>
      </c>
      <c r="B160" s="2" t="inlineStr">
        <is>
          <t>150-5370-10H.pdf</t>
        </is>
      </c>
      <c r="C160" s="2" t="n">
        <v>328</v>
      </c>
      <c r="D160" s="2" t="n">
        <v>8</v>
      </c>
      <c r="E160" s="2" t="inlineStr">
        <is>
          <t>ASTM D3666 Standard Specification for Minimum Requirements for Agencies Testing and Inspecting Road and Paving Materials</t>
        </is>
      </c>
      <c r="F160" s="2" t="inlineStr">
        <is>
          <t>Nē</t>
        </is>
      </c>
      <c r="G160" s="2" t="n"/>
    </row>
    <row r="161">
      <c r="A161" s="2" t="inlineStr">
        <is>
          <t>150-5370-10H-P0328-009</t>
        </is>
      </c>
      <c r="B161" s="2" t="inlineStr">
        <is>
          <t>150-5370-10H.pdf</t>
        </is>
      </c>
      <c r="C161" s="2" t="n">
        <v>328</v>
      </c>
      <c r="D161" s="2" t="n">
        <v>9</v>
      </c>
      <c r="E161" s="2" t="inlineStr">
        <is>
          <t>ASTM D4125 Standard Test Methods for Asphalt Content of Bituminous mixtures by the Nuclear Method</t>
        </is>
      </c>
      <c r="F161" s="2" t="inlineStr">
        <is>
          <t>Nē</t>
        </is>
      </c>
      <c r="G161" s="2" t="n"/>
    </row>
    <row r="162">
      <c r="A162" s="2" t="inlineStr">
        <is>
          <t>150-5370-10H-P0328-010</t>
        </is>
      </c>
      <c r="B162" s="2" t="inlineStr">
        <is>
          <t>150-5370-10H.pdf</t>
        </is>
      </c>
      <c r="C162" s="2" t="n">
        <v>328</v>
      </c>
      <c r="D162" s="2" t="n">
        <v>10</v>
      </c>
      <c r="E162" s="2" t="inlineStr">
        <is>
          <t>ASTM D4318 Standard Test Methods for Liquid Limit, Plastic Limit, and Plasticity Index of Soils</t>
        </is>
      </c>
      <c r="F162" s="2" t="inlineStr">
        <is>
          <t>Nē</t>
        </is>
      </c>
      <c r="G162" s="2" t="n"/>
    </row>
    <row r="163">
      <c r="A163" s="2" t="inlineStr">
        <is>
          <t>150-5370-10H-P0328-011</t>
        </is>
      </c>
      <c r="B163" s="2" t="inlineStr">
        <is>
          <t>150-5370-10H.pdf</t>
        </is>
      </c>
      <c r="C163" s="2" t="n">
        <v>328</v>
      </c>
      <c r="D163" s="2" t="n">
        <v>11</v>
      </c>
      <c r="E163" s="2" t="inlineStr">
        <is>
          <t>ASTM D4552 Standard Practice for Classifying Hot-Mix Recycling Agents</t>
        </is>
      </c>
      <c r="F163" s="2" t="inlineStr">
        <is>
          <t>Nē</t>
        </is>
      </c>
      <c r="G163" s="2" t="n"/>
    </row>
    <row r="164">
      <c r="A164" s="2" t="inlineStr">
        <is>
          <t>150-5370-10H-P0328-012</t>
        </is>
      </c>
      <c r="B164" s="2" t="inlineStr">
        <is>
          <t>150-5370-10H.pdf</t>
        </is>
      </c>
      <c r="C164" s="2" t="n">
        <v>328</v>
      </c>
      <c r="D164" s="2" t="n">
        <v>12</v>
      </c>
      <c r="E164" s="2" t="inlineStr">
        <is>
          <t>ASTM D4791 Standard Test Method for Flat Particles, Elongated Particles, or Flat and Elongated Particles in Coarse Aggregate</t>
        </is>
      </c>
      <c r="F164" s="2" t="inlineStr">
        <is>
          <t>Nē</t>
        </is>
      </c>
      <c r="G164" s="2" t="n"/>
    </row>
    <row r="165">
      <c r="A165" s="2" t="inlineStr">
        <is>
          <t>150-5370-10H-P0328-013</t>
        </is>
      </c>
      <c r="B165" s="2" t="inlineStr">
        <is>
          <t>150-5370-10H.pdf</t>
        </is>
      </c>
      <c r="C165" s="2" t="n">
        <v>328</v>
      </c>
      <c r="D165" s="2" t="n">
        <v>13</v>
      </c>
      <c r="E165" s="2" t="inlineStr">
        <is>
          <t>ASTM D4867 Standard Test Method for Effect of Moisture on Asphalt Concrete Paving Mixtures</t>
        </is>
      </c>
      <c r="F165" s="2" t="inlineStr">
        <is>
          <t>Nē</t>
        </is>
      </c>
      <c r="G165" s="2" t="n"/>
    </row>
    <row r="166">
      <c r="A166" s="2" t="inlineStr">
        <is>
          <t>150-5370-10H-P0328-014</t>
        </is>
      </c>
      <c r="B166" s="2" t="inlineStr">
        <is>
          <t>150-5370-10H.pdf</t>
        </is>
      </c>
      <c r="C166" s="2" t="n">
        <v>328</v>
      </c>
      <c r="D166" s="2" t="n">
        <v>14</v>
      </c>
      <c r="E166" s="2" t="inlineStr">
        <is>
          <t>ASTM D5444 Standard Test Method for Mechanical Size Analysis of Extracted Aggregate</t>
        </is>
      </c>
      <c r="F166" s="2" t="inlineStr">
        <is>
          <t>Nē</t>
        </is>
      </c>
      <c r="G166" s="2" t="n"/>
    </row>
    <row r="167">
      <c r="A167" s="2" t="inlineStr">
        <is>
          <t>150-5370-10H-P0328-015</t>
        </is>
      </c>
      <c r="B167" s="2" t="inlineStr">
        <is>
          <t>150-5370-10H.pdf</t>
        </is>
      </c>
      <c r="C167" s="2" t="n">
        <v>328</v>
      </c>
      <c r="D167" s="2" t="n">
        <v>15</v>
      </c>
      <c r="E167" s="2" t="inlineStr">
        <is>
          <t>ASTM D5581 Standard Test Method for Resistance to Plastic Flow of Bituminous Mixtures Using Marshall Apparatus (6 inch-Diameter Specimen)</t>
        </is>
      </c>
      <c r="F167" s="2" t="inlineStr">
        <is>
          <t>Nē</t>
        </is>
      </c>
      <c r="G167" s="2" t="n"/>
    </row>
    <row r="168">
      <c r="A168" s="2" t="inlineStr">
        <is>
          <t>150-5370-10H-P0328-016</t>
        </is>
      </c>
      <c r="B168" s="2" t="inlineStr">
        <is>
          <t>150-5370-10H.pdf</t>
        </is>
      </c>
      <c r="C168" s="2" t="n">
        <v>328</v>
      </c>
      <c r="D168" s="2" t="n">
        <v>16</v>
      </c>
      <c r="E168" s="2" t="inlineStr">
        <is>
          <t>ASTM D5821 Standard Test Method for Determining the Percentage of Fractured Particles in Coarse Aggregate</t>
        </is>
      </c>
      <c r="F168" s="2" t="inlineStr">
        <is>
          <t>Nē</t>
        </is>
      </c>
      <c r="G168" s="2" t="n"/>
    </row>
    <row r="169">
      <c r="A169" s="2" t="inlineStr">
        <is>
          <t>150-5370-10H-P0328-017</t>
        </is>
      </c>
      <c r="B169" s="2" t="inlineStr">
        <is>
          <t>150-5370-10H.pdf</t>
        </is>
      </c>
      <c r="C169" s="2" t="n">
        <v>328</v>
      </c>
      <c r="D169" s="2" t="n">
        <v>17</v>
      </c>
      <c r="E169" s="2" t="inlineStr">
        <is>
          <t>ASTM D6307 Standard Test Method for Asphalt Content of Hot-Mix Asphalt by Ignition Method</t>
        </is>
      </c>
      <c r="F169" s="2" t="inlineStr">
        <is>
          <t>Nē</t>
        </is>
      </c>
      <c r="G169" s="2" t="n"/>
    </row>
    <row r="170">
      <c r="A170" s="2" t="inlineStr">
        <is>
          <t>150-5370-10H-P0328-018</t>
        </is>
      </c>
      <c r="B170" s="2" t="inlineStr">
        <is>
          <t>150-5370-10H.pdf</t>
        </is>
      </c>
      <c r="C170" s="2" t="n">
        <v>328</v>
      </c>
      <c r="D170" s="2" t="n">
        <v>18</v>
      </c>
      <c r="E170" s="2" t="inlineStr">
        <is>
          <t>ASTM D6373 Standard Specification for Performance Graded Asphalt Binder</t>
        </is>
      </c>
      <c r="F170" s="2" t="inlineStr">
        <is>
          <t>Nē</t>
        </is>
      </c>
      <c r="G170" s="2" t="n"/>
    </row>
    <row r="171">
      <c r="A171" s="2" t="inlineStr">
        <is>
          <t>150-5370-10H-P0328-019</t>
        </is>
      </c>
      <c r="B171" s="2" t="inlineStr">
        <is>
          <t>150-5370-10H.pdf</t>
        </is>
      </c>
      <c r="C171" s="2" t="n">
        <v>328</v>
      </c>
      <c r="D171" s="2" t="n">
        <v>19</v>
      </c>
      <c r="E171" s="2" t="inlineStr">
        <is>
          <t>ASTM D6752 Standard Test Method for Bulk Specific Gravity and Density of Compacted Bituminous Mixtures Using Automatic Vacuum Sealing Method</t>
        </is>
      </c>
      <c r="F171" s="2" t="inlineStr">
        <is>
          <t>Nē</t>
        </is>
      </c>
      <c r="G171" s="2" t="n"/>
    </row>
    <row r="172">
      <c r="A172" s="2" t="inlineStr">
        <is>
          <t>150-5370-10H-P0328-020</t>
        </is>
      </c>
      <c r="B172" s="2" t="inlineStr">
        <is>
          <t>150-5370-10H.pdf</t>
        </is>
      </c>
      <c r="C172" s="2" t="n">
        <v>328</v>
      </c>
      <c r="D172" s="2" t="n">
        <v>20</v>
      </c>
      <c r="E172" s="2" t="inlineStr">
        <is>
          <t>ASTM D6925 Standard Test Method for Preparation and Determination of the Relative Density of Hot Mix Asphalt (HMA) Specimens by Means of the SuperPave Gyratory Compactor</t>
        </is>
      </c>
      <c r="F172" s="2" t="inlineStr">
        <is>
          <t>Nē</t>
        </is>
      </c>
      <c r="G172" s="2" t="n"/>
    </row>
    <row r="173">
      <c r="A173" s="2" t="inlineStr">
        <is>
          <t>150-5370-10H-P0328-021</t>
        </is>
      </c>
      <c r="B173" s="2" t="inlineStr">
        <is>
          <t>150-5370-10H.pdf</t>
        </is>
      </c>
      <c r="C173" s="2" t="n">
        <v>328</v>
      </c>
      <c r="D173" s="2" t="n">
        <v>21</v>
      </c>
      <c r="E173" s="2" t="inlineStr">
        <is>
          <t>ASTM D6926 Standard Practice for Preparation of Bituminous Specimens Using Marshall Apparatus</t>
        </is>
      </c>
      <c r="F173" s="2" t="inlineStr">
        <is>
          <t>Nē</t>
        </is>
      </c>
      <c r="G173" s="2" t="n"/>
    </row>
    <row r="174">
      <c r="A174" s="2" t="inlineStr">
        <is>
          <t>150-5370-10H-P0328-022</t>
        </is>
      </c>
      <c r="B174" s="2" t="inlineStr">
        <is>
          <t>150-5370-10H.pdf</t>
        </is>
      </c>
      <c r="C174" s="2" t="n">
        <v>328</v>
      </c>
      <c r="D174" s="2" t="n">
        <v>22</v>
      </c>
      <c r="E174" s="2" t="inlineStr">
        <is>
          <t>ASTM D6927 Standard Test Method for Marshall Stability and Flow of Bituminous Mixtures</t>
        </is>
      </c>
      <c r="F174" s="2" t="inlineStr">
        <is>
          <t>Nē</t>
        </is>
      </c>
      <c r="G174" s="2" t="n"/>
    </row>
    <row r="175">
      <c r="A175" s="2" t="inlineStr">
        <is>
          <t>150-5370-10H-P0328-023</t>
        </is>
      </c>
      <c r="B175" s="2" t="inlineStr">
        <is>
          <t>150-5370-10H.pdf</t>
        </is>
      </c>
      <c r="C175" s="2" t="n">
        <v>328</v>
      </c>
      <c r="D175" s="2" t="n">
        <v>23</v>
      </c>
      <c r="E175" s="2" t="inlineStr">
        <is>
          <t>Item P-403 Asphalt Mix Pavement [ Base ] [ Leveling ] [ Surface ] Course 320</t>
        </is>
      </c>
      <c r="F175" s="2" t="inlineStr">
        <is>
          <t>Nē</t>
        </is>
      </c>
      <c r="G175" s="2" t="n"/>
    </row>
    <row r="176">
      <c r="A176" s="2" t="inlineStr">
        <is>
          <t>150-5370-10H-P0431-001</t>
        </is>
      </c>
      <c r="B176" s="2" t="inlineStr">
        <is>
          <t>150-5370-10H.pdf</t>
        </is>
      </c>
      <c r="C176" s="2" t="n">
        <v>431</v>
      </c>
      <c r="D176" s="2" t="n">
        <v>1</v>
      </c>
      <c r="E176" s="2" t="inlineStr">
        <is>
          <t>12/21/2018 AC 150/5370-10H</t>
        </is>
      </c>
      <c r="F176" s="2" t="inlineStr">
        <is>
          <t>Nē</t>
        </is>
      </c>
      <c r="G176" s="2" t="n"/>
    </row>
    <row r="177">
      <c r="A177" s="2" t="inlineStr">
        <is>
          <t>150-5370-10H-P0431-002</t>
        </is>
      </c>
      <c r="B177" s="2" t="inlineStr">
        <is>
          <t>150-5370-10H.pdf</t>
        </is>
      </c>
      <c r="C177" s="2" t="n">
        <v>431</v>
      </c>
      <c r="D177" s="2" t="n">
        <v>2</v>
      </c>
      <c r="E177" s="2" t="inlineStr">
        <is>
          <t>The Contractor shall provide a copy of the manufacturer’s Certificate of Analysis (COA) for material delivered to the project.</t>
        </is>
      </c>
      <c r="F177" s="2" t="inlineStr">
        <is>
          <t>Jā</t>
        </is>
      </c>
      <c r="G177" s="2" t="n"/>
    </row>
    <row r="178">
      <c r="A178" s="2" t="inlineStr">
        <is>
          <t>150-5370-10H-P0431-003</t>
        </is>
      </c>
      <c r="B178" s="2" t="inlineStr">
        <is>
          <t>150-5370-10H.pdf</t>
        </is>
      </c>
      <c r="C178" s="2" t="n">
        <v>431</v>
      </c>
      <c r="D178" s="2" t="n">
        <v>3</v>
      </c>
      <c r="E178" s="2" t="inlineStr">
        <is>
          <t>If the asphalt emulsion is diluted at other than the manufacturer’s facility, the Contractor shall provide a supplemental COA from an independent laboratory verifying the asphalt emulsion properties.</t>
        </is>
      </c>
      <c r="F178" s="2" t="inlineStr">
        <is>
          <t>Jā</t>
        </is>
      </c>
      <c r="G178" s="2" t="n"/>
    </row>
    <row r="179">
      <c r="A179" s="2" t="inlineStr">
        <is>
          <t>150-5370-10H-P0431-004</t>
        </is>
      </c>
      <c r="B179" s="2" t="inlineStr">
        <is>
          <t>150-5370-10H.pdf</t>
        </is>
      </c>
      <c r="C179" s="2" t="n">
        <v>431</v>
      </c>
      <c r="D179" s="2" t="n">
        <v>4</v>
      </c>
      <c r="E179" s="2" t="inlineStr">
        <is>
          <t>The COA shall be provided to and approved by the RPR before material is applied.</t>
        </is>
      </c>
      <c r="F179" s="2" t="inlineStr">
        <is>
          <t>Jā</t>
        </is>
      </c>
      <c r="G179" s="2" t="n"/>
    </row>
    <row r="180">
      <c r="A180" s="2" t="inlineStr">
        <is>
          <t>150-5370-10H-P0431-005</t>
        </is>
      </c>
      <c r="B180" s="2" t="inlineStr">
        <is>
          <t>150-5370-10H.pdf</t>
        </is>
      </c>
      <c r="C180" s="2" t="n">
        <v>431</v>
      </c>
      <c r="D180" s="2" t="n">
        <v>5</v>
      </c>
      <c r="E180" s="2" t="inlineStr">
        <is>
          <t>The furnishing of the vendor’s certified test report for the asphalt material shall not be interpreted as a basis for final acceptance.</t>
        </is>
      </c>
      <c r="F180" s="2" t="inlineStr">
        <is>
          <t>Nē</t>
        </is>
      </c>
      <c r="G180" s="2" t="n"/>
    </row>
    <row r="181">
      <c r="A181" s="2" t="inlineStr">
        <is>
          <t>150-5370-10H-P0431-006</t>
        </is>
      </c>
      <c r="B181" s="2" t="inlineStr">
        <is>
          <t>150-5370-10H.pdf</t>
        </is>
      </c>
      <c r="C181" s="2" t="n">
        <v>431</v>
      </c>
      <c r="D181" s="2" t="n">
        <v>6</v>
      </c>
      <c r="E181" s="2" t="inlineStr">
        <is>
          <t>The manufacturer’s COA may be subject to verification by testing the material delivered for use on the project.</t>
        </is>
      </c>
      <c r="F181" s="2" t="inlineStr">
        <is>
          <t>Nē</t>
        </is>
      </c>
      <c r="G181" s="2" t="n"/>
    </row>
    <row r="182">
      <c r="A182" s="2" t="inlineStr">
        <is>
          <t>150-5370-10H-P0431-007</t>
        </is>
      </c>
      <c r="B182" s="2" t="inlineStr">
        <is>
          <t>150-5370-10H.pdf</t>
        </is>
      </c>
      <c r="C182" s="2" t="n">
        <v>431</v>
      </c>
      <c r="D182" s="2" t="n">
        <v>7</v>
      </c>
      <c r="E182" s="2" t="inlineStr">
        <is>
          <t>623-2.2 Polymer modification.</t>
        </is>
      </c>
      <c r="F182" s="2" t="inlineStr">
        <is>
          <t>Nē</t>
        </is>
      </c>
      <c r="G182" s="2" t="n"/>
    </row>
    <row r="183">
      <c r="A183" s="2" t="inlineStr">
        <is>
          <t>150-5370-10H-P0431-008</t>
        </is>
      </c>
      <c r="B183" s="2" t="inlineStr">
        <is>
          <t>150-5370-10H.pdf</t>
        </is>
      </c>
      <c r="C183" s="2" t="n">
        <v>431</v>
      </c>
      <c r="D183" s="2" t="n">
        <v>8</v>
      </c>
      <c r="E183" s="2" t="inlineStr">
        <is>
          <t>The type of polymer used for modification shall be chosen by the manufacturer.</t>
        </is>
      </c>
      <c r="F183" s="2" t="inlineStr">
        <is>
          <t>Nē</t>
        </is>
      </c>
      <c r="G183" s="2" t="n"/>
    </row>
    <row r="184">
      <c r="A184" s="2" t="inlineStr">
        <is>
          <t>150-5370-10H-P0431-009</t>
        </is>
      </c>
      <c r="B184" s="2" t="inlineStr">
        <is>
          <t>150-5370-10H.pdf</t>
        </is>
      </c>
      <c r="C184" s="2" t="n">
        <v>431</v>
      </c>
      <c r="D184" s="2" t="n">
        <v>9</v>
      </c>
      <c r="E184" s="2" t="inlineStr">
        <is>
          <t>The polymer modifier shall be incorporated in the manufacturing process.</t>
        </is>
      </c>
      <c r="F184" s="2" t="inlineStr">
        <is>
          <t>Nē</t>
        </is>
      </c>
      <c r="G184" s="2" t="n"/>
    </row>
    <row r="185">
      <c r="A185" s="2" t="inlineStr">
        <is>
          <t>150-5370-10H-P0431-010</t>
        </is>
      </c>
      <c r="B185" s="2" t="inlineStr">
        <is>
          <t>150-5370-10H.pdf</t>
        </is>
      </c>
      <c r="C185" s="2" t="n">
        <v>431</v>
      </c>
      <c r="D185" s="2" t="n">
        <v>10</v>
      </c>
      <c r="E185" s="2" t="inlineStr">
        <is>
          <t>The Contractor shall submit manufacturer’s technical data, the manufacturer’s certification indicating that the polymer meets the requirements of the specification, and the manufacturer’s approval of its use to the RPR.</t>
        </is>
      </c>
      <c r="F185" s="2" t="inlineStr">
        <is>
          <t>Jā</t>
        </is>
      </c>
      <c r="G185" s="2" t="n"/>
    </row>
    <row r="186">
      <c r="A186" s="2" t="inlineStr">
        <is>
          <t>150-5370-10H-P0431-011</t>
        </is>
      </c>
      <c r="B186" s="2" t="inlineStr">
        <is>
          <t>150-5370-10H.pdf</t>
        </is>
      </c>
      <c r="C186" s="2" t="n">
        <v>431</v>
      </c>
      <c r="D186" s="2" t="n">
        <v>11</v>
      </c>
      <c r="E186" s="2" t="inlineStr">
        <is>
          <t>The amount of polymer will be a minimum 3% of the weight of the asphalt binder in the seal coat surface treatment.</t>
        </is>
      </c>
      <c r="F186" s="2" t="inlineStr">
        <is>
          <t>Nē</t>
        </is>
      </c>
      <c r="G186" s="2" t="n"/>
    </row>
    <row r="187">
      <c r="A187" s="2" t="inlineStr">
        <is>
          <t>150-5370-10H-P0431-012</t>
        </is>
      </c>
      <c r="B187" s="2" t="inlineStr">
        <is>
          <t>150-5370-10H.pdf</t>
        </is>
      </c>
      <c r="C187" s="2" t="n">
        <v>431</v>
      </c>
      <c r="D187" s="2" t="n">
        <v>12</v>
      </c>
      <c r="E187" s="2" t="inlineStr">
        <is>
          <t>Polymers are added to improve the coating’s final properties.</t>
        </is>
      </c>
      <c r="F187" s="2" t="inlineStr">
        <is>
          <t>Nē</t>
        </is>
      </c>
      <c r="G187" s="2" t="n"/>
    </row>
    <row r="188">
      <c r="A188" s="2" t="inlineStr">
        <is>
          <t>150-5370-10H-P0431-013</t>
        </is>
      </c>
      <c r="B188" s="2" t="inlineStr">
        <is>
          <t>150-5370-10H.pdf</t>
        </is>
      </c>
      <c r="C188" s="2" t="n">
        <v>431</v>
      </c>
      <c r="D188" s="2" t="n">
        <v>13</v>
      </c>
      <c r="E188" s="2" t="inlineStr">
        <is>
          <t>These properties can include durability, drying time, color uniformity, and/or length of cure time.</t>
        </is>
      </c>
      <c r="F188" s="2" t="inlineStr">
        <is>
          <t>Nē</t>
        </is>
      </c>
      <c r="G188" s="2" t="n"/>
    </row>
    <row r="189">
      <c r="A189" s="2" t="inlineStr">
        <is>
          <t>150-5370-10H-P0431-014</t>
        </is>
      </c>
      <c r="B189" s="2" t="inlineStr">
        <is>
          <t>150-5370-10H.pdf</t>
        </is>
      </c>
      <c r="C189" s="2" t="n">
        <v>431</v>
      </c>
      <c r="D189" s="2" t="n">
        <v>14</v>
      </c>
      <c r="E189" s="2" t="inlineStr">
        <is>
          <t>Polymers may also be used to modify the wet mixture’s viscosity to improve aggregate suspension.</t>
        </is>
      </c>
      <c r="F189" s="2" t="inlineStr">
        <is>
          <t>Nē</t>
        </is>
      </c>
      <c r="G189" s="2" t="n"/>
    </row>
    <row r="190">
      <c r="A190" s="2" t="inlineStr">
        <is>
          <t>150-5370-10H-P0431-015</t>
        </is>
      </c>
      <c r="B190" s="2" t="inlineStr">
        <is>
          <t>150-5370-10H.pdf</t>
        </is>
      </c>
      <c r="C190" s="2" t="n">
        <v>431</v>
      </c>
      <c r="D190" s="2" t="n">
        <v>15</v>
      </c>
      <c r="E190" s="2" t="inlineStr">
        <is>
          <t>The type of polymer to be used should be specified by the asphalt emulsion seal coat manufacturer and will depend on which final properties are desired.</t>
        </is>
      </c>
      <c r="F190" s="2" t="inlineStr">
        <is>
          <t>Nē</t>
        </is>
      </c>
      <c r="G190" s="2" t="n"/>
    </row>
    <row r="191">
      <c r="A191" s="2" t="inlineStr">
        <is>
          <t>150-5370-10H-P0431-016</t>
        </is>
      </c>
      <c r="B191" s="2" t="inlineStr">
        <is>
          <t>150-5370-10H.pdf</t>
        </is>
      </c>
      <c r="C191" s="2" t="n">
        <v>431</v>
      </c>
      <c r="D191" s="2" t="n">
        <v>16</v>
      </c>
      <c r="E191" s="2" t="inlineStr">
        <is>
          <t>The Engineer should specify the desired properties.</t>
        </is>
      </c>
      <c r="F191" s="2" t="inlineStr">
        <is>
          <t>Nē</t>
        </is>
      </c>
      <c r="G191" s="2" t="n"/>
    </row>
    <row r="192">
      <c r="A192" s="2" t="inlineStr">
        <is>
          <t>150-5370-10H-P0431-017</t>
        </is>
      </c>
      <c r="B192" s="2" t="inlineStr">
        <is>
          <t>150-5370-10H.pdf</t>
        </is>
      </c>
      <c r="C192" s="2" t="n">
        <v>431</v>
      </c>
      <c r="D192" s="2" t="n">
        <v>17</v>
      </c>
      <c r="E192" s="2" t="inlineStr">
        <is>
          <t>6 23-2.3 Water.</t>
        </is>
      </c>
      <c r="F192" s="2" t="inlineStr">
        <is>
          <t>Nē</t>
        </is>
      </c>
      <c r="G192" s="2" t="n"/>
    </row>
    <row r="193">
      <c r="A193" s="2" t="inlineStr">
        <is>
          <t>150-5370-10H-P0431-018</t>
        </is>
      </c>
      <c r="B193" s="2" t="inlineStr">
        <is>
          <t>150-5370-10H.pdf</t>
        </is>
      </c>
      <c r="C193" s="2" t="n">
        <v>431</v>
      </c>
      <c r="D193" s="2" t="n">
        <v>18</v>
      </c>
      <c r="E193" s="2" t="inlineStr">
        <is>
          <t>Water used in mixing or curing shall be from potable water sources, free of harmful soluble salts, and at least 50°F (10°C).</t>
        </is>
      </c>
      <c r="F193" s="2" t="inlineStr">
        <is>
          <t>Nē</t>
        </is>
      </c>
      <c r="G193" s="2" t="n"/>
    </row>
    <row r="194">
      <c r="A194" s="2" t="inlineStr">
        <is>
          <t>150-5370-10H-P0431-019</t>
        </is>
      </c>
      <c r="B194" s="2" t="inlineStr">
        <is>
          <t>150-5370-10H.pdf</t>
        </is>
      </c>
      <c r="C194" s="2" t="n">
        <v>431</v>
      </c>
      <c r="D194" s="2" t="n">
        <v>19</v>
      </c>
      <c r="E194" s="2" t="inlineStr">
        <is>
          <t>Other sources shall be tested in accordance with ASTM C1602 prior to use.</t>
        </is>
      </c>
      <c r="F194" s="2" t="inlineStr">
        <is>
          <t>Nē</t>
        </is>
      </c>
      <c r="G194" s="2" t="n"/>
    </row>
    <row r="195">
      <c r="A195" s="2" t="inlineStr">
        <is>
          <t>150-5370-10H-P0431-020</t>
        </is>
      </c>
      <c r="B195" s="2" t="inlineStr">
        <is>
          <t>150-5370-10H.pdf</t>
        </is>
      </c>
      <c r="C195" s="2" t="n">
        <v>431</v>
      </c>
      <c r="D195" s="2" t="n">
        <v>20</v>
      </c>
      <c r="E195" s="2" t="inlineStr">
        <is>
          <t>623-2.4 Friction characteristics.</t>
        </is>
      </c>
      <c r="F195" s="2" t="inlineStr">
        <is>
          <t>Nē</t>
        </is>
      </c>
      <c r="G195" s="2" t="n"/>
    </row>
    <row r="196">
      <c r="A196" s="2" t="inlineStr">
        <is>
          <t>150-5370-10H-P0431-021</t>
        </is>
      </c>
      <c r="B196" s="2" t="inlineStr">
        <is>
          <t>150-5370-10H.pdf</t>
        </is>
      </c>
      <c r="C196" s="2" t="n">
        <v>431</v>
      </c>
      <c r="D196" s="2" t="n">
        <v>21</v>
      </c>
      <c r="E196" s="2" t="inlineStr">
        <is>
          <t>[ Not required. ] [ The Contractor shall submit to the RPR friction tests, from previous airport projects which used the emulsified asphalt spray seal coat in a similar environment, in accordance with AC 150/5320-12, at 40 mph (65 km/h) wet, showing, as a minimum; friction value of pavement surface prior to sealant application; two values, tested between 24 and 96 hours after application, with a minimum of 24 hours between tests; and one value tested at no less than 180 days or greater than 360 days after the application.</t>
        </is>
      </c>
      <c r="F196" s="2" t="inlineStr">
        <is>
          <t>Jā</t>
        </is>
      </c>
      <c r="G196" s="2" t="n"/>
    </row>
    <row r="197">
      <c r="A197" s="2" t="inlineStr">
        <is>
          <t>150-5370-10H-P0431-022</t>
        </is>
      </c>
      <c r="B197" s="2" t="inlineStr">
        <is>
          <t>150-5370-10H.pdf</t>
        </is>
      </c>
      <c r="C197" s="2" t="n">
        <v>431</v>
      </c>
      <c r="D197" s="2" t="n">
        <v>22</v>
      </c>
      <c r="E197" s="2" t="inlineStr">
        <is>
          <t>The results of the two tests between 24 and 96 hours shall indicate friction is increasing at a rate to obtain similar friction value of the pavement surface prior to application, and the long-term test shall indicate no apparent adverse effect with time relative to friction values and existing pavement surface.</t>
        </is>
      </c>
      <c r="F197" s="2" t="inlineStr">
        <is>
          <t>Nē</t>
        </is>
      </c>
      <c r="G197" s="2" t="n"/>
    </row>
    <row r="198">
      <c r="A198" s="2" t="inlineStr">
        <is>
          <t>150-5370-10H-P0431-023</t>
        </is>
      </c>
      <c r="B198" s="2" t="inlineStr">
        <is>
          <t>150-5370-10H.pdf</t>
        </is>
      </c>
      <c r="C198" s="2" t="n">
        <v>431</v>
      </c>
      <c r="D198" s="2" t="n">
        <v>23</v>
      </c>
      <c r="E198" s="2" t="inlineStr">
        <is>
          <t>The Contractor shall submit to the RPR a list of airports which meet the above requirements, as well as technical details on application rates, aggregate rates, and point of contact at these airports to confirm use and success of sealer.</t>
        </is>
      </c>
      <c r="F198" s="2" t="inlineStr">
        <is>
          <t>Nē</t>
        </is>
      </c>
      <c r="G198" s="2" t="n"/>
    </row>
    <row r="199">
      <c r="A199" s="2" t="inlineStr">
        <is>
          <t>150-5370-10H-P0431-024</t>
        </is>
      </c>
      <c r="B199" s="2" t="inlineStr">
        <is>
          <t>150-5370-10H.pdf</t>
        </is>
      </c>
      <c r="C199" s="2" t="n">
        <v>431</v>
      </c>
      <c r="D199" s="2" t="n">
        <v>24</v>
      </c>
      <c r="E199" s="2" t="inlineStr">
        <is>
          <t>Friction tests shall be submitted from no less than one of the airports on the list and each set of tests described above, must be from one project.</t>
        </is>
      </c>
      <c r="F199" s="2" t="inlineStr">
        <is>
          <t>Jā</t>
        </is>
      </c>
      <c r="G199" s="2" t="n"/>
    </row>
    <row r="200">
      <c r="A200" s="2" t="inlineStr">
        <is>
          <t>150-5370-10H-P0431-025</t>
        </is>
      </c>
      <c r="B200" s="2" t="inlineStr">
        <is>
          <t>150-5370-10H.pdf</t>
        </is>
      </c>
      <c r="C200" s="2" t="n">
        <v>431</v>
      </c>
      <c r="D200" s="2" t="n">
        <v>25</v>
      </c>
      <c r="E200" s="2" t="inlineStr">
        <is>
          <t>Submittals without the required friction performance will not be approved.</t>
        </is>
      </c>
      <c r="F200" s="2" t="inlineStr">
        <is>
          <t>Nē</t>
        </is>
      </c>
      <c r="G200" s="2" t="n"/>
    </row>
    <row r="201">
      <c r="A201" s="2" t="inlineStr">
        <is>
          <t>150-5370-10H-P0431-026</t>
        </is>
      </c>
      <c r="B201" s="2" t="inlineStr">
        <is>
          <t>150-5370-10H.pdf</t>
        </is>
      </c>
      <c r="C201" s="2" t="n">
        <v>431</v>
      </c>
      <c r="D201" s="2" t="n">
        <v>26</v>
      </c>
      <c r="E201" s="2" t="inlineStr">
        <is>
          <t>Friction tests performed on this project cannot be used as a substitute of this requirement. ]</t>
        </is>
      </c>
      <c r="F201" s="2" t="inlineStr">
        <is>
          <t>Nē</t>
        </is>
      </c>
      <c r="G201" s="2" t="n"/>
    </row>
    <row r="202">
      <c r="A202" s="2" t="inlineStr">
        <is>
          <t>150-5370-10H-P0431-027</t>
        </is>
      </c>
      <c r="B202" s="2" t="inlineStr">
        <is>
          <t>150-5370-10H.pdf</t>
        </is>
      </c>
      <c r="C202" s="2" t="n">
        <v>431</v>
      </c>
      <c r="D202" s="2" t="n">
        <v>27</v>
      </c>
      <c r="E202" s="2" t="inlineStr">
        <is>
          <t>Item P-623 Emulsified Asphalt Spray Seal Coat 423</t>
        </is>
      </c>
      <c r="F202" s="2" t="inlineStr">
        <is>
          <t>Nē</t>
        </is>
      </c>
      <c r="G202" s="2" t="n"/>
    </row>
    <row r="203">
      <c r="A203" s="2" t="inlineStr">
        <is>
          <t>150-5370-10H-P0452-001</t>
        </is>
      </c>
      <c r="B203" s="2" t="inlineStr">
        <is>
          <t>150-5370-10H.pdf</t>
        </is>
      </c>
      <c r="C203" s="2" t="n">
        <v>452</v>
      </c>
      <c r="D203" s="2" t="n">
        <v>1</v>
      </c>
      <c r="E203" s="2" t="inlineStr">
        <is>
          <t>12/21/2018 AC 150/5370-10H</t>
        </is>
      </c>
      <c r="F203" s="2" t="inlineStr">
        <is>
          <t>Nē</t>
        </is>
      </c>
      <c r="G203" s="2" t="n"/>
    </row>
    <row r="204">
      <c r="A204" s="2" t="inlineStr">
        <is>
          <t>150-5370-10H-P0452-002</t>
        </is>
      </c>
      <c r="B204" s="2" t="inlineStr">
        <is>
          <t>150-5370-10H.pdf</t>
        </is>
      </c>
      <c r="C204" s="2" t="n">
        <v>452</v>
      </c>
      <c r="D204" s="2" t="n">
        <v>2</v>
      </c>
      <c r="E204" s="2" t="inlineStr">
        <is>
          <t>adjustments to the mix composition, application rate, placement operations and equipment shall be made.</t>
        </is>
      </c>
      <c r="F204" s="2" t="inlineStr">
        <is>
          <t>Nē</t>
        </is>
      </c>
      <c r="G204" s="2" t="n"/>
    </row>
    <row r="205">
      <c r="A205" s="2" t="inlineStr">
        <is>
          <t>150-5370-10H-P0452-003</t>
        </is>
      </c>
      <c r="B205" s="2" t="inlineStr">
        <is>
          <t>150-5370-10H.pdf</t>
        </is>
      </c>
      <c r="C205" s="2" t="n">
        <v>452</v>
      </c>
      <c r="D205" s="2" t="n">
        <v>3</v>
      </c>
      <c r="E205" s="2" t="inlineStr">
        <is>
          <t>Additional control strips shall be placed and evaluated if required.</t>
        </is>
      </c>
      <c r="F205" s="2" t="inlineStr">
        <is>
          <t>Nē</t>
        </is>
      </c>
      <c r="G205" s="2" t="n"/>
    </row>
    <row r="206">
      <c r="A206" s="2" t="inlineStr">
        <is>
          <t>150-5370-10H-P0452-004</t>
        </is>
      </c>
      <c r="B206" s="2" t="inlineStr">
        <is>
          <t>150-5370-10H.pdf</t>
        </is>
      </c>
      <c r="C206" s="2" t="n">
        <v>452</v>
      </c>
      <c r="D206" s="2" t="n">
        <v>4</v>
      </c>
      <c r="E206" s="2" t="inlineStr">
        <is>
          <t>629-3.6 Friction characteristics.</t>
        </is>
      </c>
      <c r="F206" s="2" t="inlineStr">
        <is>
          <t>Nē</t>
        </is>
      </c>
      <c r="G206" s="2" t="n"/>
    </row>
    <row r="207">
      <c r="A207" s="2" t="inlineStr">
        <is>
          <t>150-5370-10H-P0452-005</t>
        </is>
      </c>
      <c r="B207" s="2" t="inlineStr">
        <is>
          <t>150-5370-10H.pdf</t>
        </is>
      </c>
      <c r="C207" s="2" t="n">
        <v>452</v>
      </c>
      <c r="D207" s="2" t="n">
        <v>5</v>
      </c>
      <c r="E207" s="2" t="inlineStr">
        <is>
          <t>Friction testing is not required for micro-surface installations.</t>
        </is>
      </c>
      <c r="F207" s="2" t="inlineStr">
        <is>
          <t>Nē</t>
        </is>
      </c>
      <c r="G207" s="2" t="n"/>
    </row>
    <row r="208">
      <c r="A208" s="2" t="inlineStr">
        <is>
          <t>150-5370-10H-P0452-006</t>
        </is>
      </c>
      <c r="B208" s="2" t="inlineStr">
        <is>
          <t>150-5370-10H.pdf</t>
        </is>
      </c>
      <c r="C208" s="2" t="n">
        <v>452</v>
      </c>
      <c r="D208" s="2" t="n">
        <v>6</v>
      </c>
      <c r="E208" s="2" t="inlineStr">
        <is>
          <t>FOR THERMOPLASTIC COAL TAR EMULSION SAND SLURRY SEAL,</t>
        </is>
      </c>
      <c r="F208" s="2" t="inlineStr">
        <is>
          <t>Nē</t>
        </is>
      </c>
      <c r="G208" s="2" t="n"/>
    </row>
    <row r="209">
      <c r="A209" s="2" t="inlineStr">
        <is>
          <t>150-5370-10H-P0452-007</t>
        </is>
      </c>
      <c r="B209" s="2" t="inlineStr">
        <is>
          <t>150-5370-10H.pdf</t>
        </is>
      </c>
      <c r="C209" s="2" t="n">
        <v>452</v>
      </c>
      <c r="D209" s="2" t="n">
        <v>7</v>
      </c>
      <c r="E209" s="2" t="inlineStr">
        <is>
          <t>INSERT THE FOLLOWING PARAGRAPHS FOR PARAGRAPH 629-3.0 TO</t>
        </is>
      </c>
      <c r="F209" s="2" t="inlineStr">
        <is>
          <t>Nē</t>
        </is>
      </c>
      <c r="G209" s="2" t="n"/>
    </row>
    <row r="210">
      <c r="A210" s="2" t="inlineStr">
        <is>
          <t>150-5370-10H-P0452-008</t>
        </is>
      </c>
      <c r="B210" s="2" t="inlineStr">
        <is>
          <t>150-5370-10H.pdf</t>
        </is>
      </c>
      <c r="C210" s="2" t="n">
        <v>452</v>
      </c>
      <c r="D210" s="2" t="n">
        <v>8</v>
      </c>
      <c r="E210" s="2" t="inlineStr">
        <is>
          <t>629-3.6:</t>
        </is>
      </c>
      <c r="F210" s="2" t="inlineStr">
        <is>
          <t>Nē</t>
        </is>
      </c>
      <c r="G210" s="2" t="n"/>
    </row>
    <row r="211">
      <c r="A211" s="2" t="inlineStr">
        <is>
          <t>150-5370-10H-P0452-009</t>
        </is>
      </c>
      <c r="B211" s="2" t="inlineStr">
        <is>
          <t>150-5370-10H.pdf</t>
        </is>
      </c>
      <c r="C211" s="2" t="n">
        <v>452</v>
      </c>
      <c r="D211" s="2" t="n">
        <v>9</v>
      </c>
      <c r="E211" s="2" t="inlineStr">
        <is>
          <t>629–3.0 Thermoplastic coal tar emulsion sand slurry seal.</t>
        </is>
      </c>
      <c r="F211" s="2" t="inlineStr">
        <is>
          <t>Nē</t>
        </is>
      </c>
      <c r="G211" s="2" t="n"/>
    </row>
    <row r="212">
      <c r="A212" s="2" t="inlineStr">
        <is>
          <t>150-5370-10H-P0452-010</t>
        </is>
      </c>
      <c r="B212" s="2" t="inlineStr">
        <is>
          <t>150-5370-10H.pdf</t>
        </is>
      </c>
      <c r="C212" s="2" t="n">
        <v>452</v>
      </c>
      <c r="D212" s="2" t="n">
        <v>10</v>
      </c>
      <c r="E212" s="2" t="inlineStr">
        <is>
          <t>629-3.1 Quantities of materials per square yard.</t>
        </is>
      </c>
      <c r="F212" s="2" t="inlineStr">
        <is>
          <t>Nē</t>
        </is>
      </c>
      <c r="G212" s="2" t="n"/>
    </row>
    <row r="213">
      <c r="A213" s="2" t="inlineStr">
        <is>
          <t>150-5370-10H-P0452-011</t>
        </is>
      </c>
      <c r="B213" s="2" t="inlineStr">
        <is>
          <t>150-5370-10H.pdf</t>
        </is>
      </c>
      <c r="C213" s="2" t="n">
        <v>452</v>
      </c>
      <c r="D213" s="2" t="n">
        <v>11</v>
      </c>
      <c r="E213" s="2" t="inlineStr">
        <is>
          <t>Based on the data in this specification, the Contractor shall submit the proportions of thermoplastic coal tar emulsion and aggregate proposed for use to the RPR for approval prior to the start of operations.</t>
        </is>
      </c>
      <c r="F213" s="2" t="inlineStr">
        <is>
          <t>Nē</t>
        </is>
      </c>
      <c r="G213" s="2" t="n"/>
    </row>
    <row r="214">
      <c r="A214" s="2" t="inlineStr">
        <is>
          <t>150-5370-10H-P0452-012</t>
        </is>
      </c>
      <c r="B214" s="2" t="inlineStr">
        <is>
          <t>150-5370-10H.pdf</t>
        </is>
      </c>
      <c r="C214" s="2" t="n">
        <v>452</v>
      </c>
      <c r="D214" s="2" t="n">
        <v>12</v>
      </c>
      <c r="E214" s="2" t="inlineStr">
        <is>
          <t>A copy of the mix design and test data required by this specification shall be submitted to the RPR for approval along with the above information.</t>
        </is>
      </c>
      <c r="F214" s="2" t="inlineStr">
        <is>
          <t>Jā</t>
        </is>
      </c>
      <c r="G214" s="2" t="n"/>
    </row>
    <row r="215">
      <c r="A215" s="2" t="inlineStr">
        <is>
          <t>150-5370-10H-P0452-013</t>
        </is>
      </c>
      <c r="B215" s="2" t="inlineStr">
        <is>
          <t>150-5370-10H.pdf</t>
        </is>
      </c>
      <c r="C215" s="2" t="n">
        <v>452</v>
      </c>
      <c r="D215" s="2" t="n">
        <v>13</v>
      </c>
      <c r="E215" s="2" t="inlineStr">
        <is>
          <t>No thermoplastic coal tar emulsion sand slurry seal shall be produced for payment until a job mix formula has been approved in writing by the RPR.</t>
        </is>
      </c>
      <c r="F215" s="2" t="inlineStr">
        <is>
          <t>Nē</t>
        </is>
      </c>
      <c r="G215" s="2" t="n"/>
    </row>
    <row r="216">
      <c r="A216" s="2" t="inlineStr">
        <is>
          <t>150-5370-10H-P0452-014</t>
        </is>
      </c>
      <c r="B216" s="2" t="inlineStr">
        <is>
          <t>150-5370-10H.pdf</t>
        </is>
      </c>
      <c r="C216" s="2" t="n">
        <v>452</v>
      </c>
      <c r="D216" s="2" t="n">
        <v>14</v>
      </c>
      <c r="E216" s="2" t="inlineStr">
        <is>
          <t>Application Rate</t>
        </is>
      </c>
      <c r="F216" s="2" t="inlineStr">
        <is>
          <t>Nē</t>
        </is>
      </c>
      <c r="G216" s="2" t="n"/>
    </row>
    <row r="217">
      <c r="A217" s="2" t="inlineStr">
        <is>
          <t>150-5370-10H-P0452-015</t>
        </is>
      </c>
      <c r="B217" s="2" t="inlineStr">
        <is>
          <t>150-5370-10H.pdf</t>
        </is>
      </c>
      <c r="C217" s="2" t="n">
        <v>452</v>
      </c>
      <c r="D217" s="2" t="n">
        <v>15</v>
      </c>
      <c r="E217" s="2" t="inlineStr">
        <is>
          <t>Composition i Application Rate ii lbs/gal (kg/l) lb/yd2 (kg/m2) 17-19 4 (2.04-2.28) (2.17)</t>
        </is>
      </c>
      <c r="F217" s="2" t="inlineStr">
        <is>
          <t>Nē</t>
        </is>
      </c>
      <c r="G217" s="2" t="n"/>
    </row>
    <row r="218">
      <c r="A218" s="2" t="inlineStr">
        <is>
          <t>150-5370-10H-P0452-016</t>
        </is>
      </c>
      <c r="B218" s="2" t="inlineStr">
        <is>
          <t>150-5370-10H.pdf</t>
        </is>
      </c>
      <c r="C218" s="2" t="n">
        <v>452</v>
      </c>
      <c r="D218" s="2" t="n">
        <v>16</v>
      </c>
      <c r="E218" s="2" t="inlineStr">
        <is>
          <t>1. Aggregate (lbs) shall be mixed homogeneously with the thermoplastic coal tar emulsion (gals).</t>
        </is>
      </c>
      <c r="F218" s="2" t="inlineStr">
        <is>
          <t>Nē</t>
        </is>
      </c>
      <c r="G218" s="2" t="n"/>
    </row>
    <row r="219">
      <c r="A219" s="2" t="inlineStr">
        <is>
          <t>150-5370-10H-P0452-017</t>
        </is>
      </c>
      <c r="B219" s="2" t="inlineStr">
        <is>
          <t>150-5370-10H.pdf</t>
        </is>
      </c>
      <c r="C219" s="2" t="n">
        <v>452</v>
      </c>
      <c r="D219" s="2" t="n">
        <v>17</v>
      </c>
      <c r="E219" s="2" t="inlineStr">
        <is>
          <t>2. Minimum application rate of uncured thermoplastic coal tar emulsion sand slurry seal.</t>
        </is>
      </c>
      <c r="F219" s="2" t="inlineStr">
        <is>
          <t>Nē</t>
        </is>
      </c>
      <c r="G219" s="2" t="n"/>
    </row>
    <row r="220">
      <c r="A220" s="2" t="inlineStr">
        <is>
          <t>150-5370-10H-P0452-018</t>
        </is>
      </c>
      <c r="B220" s="2" t="inlineStr">
        <is>
          <t>150-5370-10H.pdf</t>
        </is>
      </c>
      <c r="C220" s="2" t="n">
        <v>452</v>
      </c>
      <c r="D220" s="2" t="n">
        <v>18</v>
      </c>
      <c r="E220" s="2" t="inlineStr">
        <is>
          <t>629-3.2 Aggregate.</t>
        </is>
      </c>
      <c r="F220" s="2" t="inlineStr">
        <is>
          <t>Nē</t>
        </is>
      </c>
      <c r="G220" s="2" t="n"/>
    </row>
    <row r="221">
      <c r="A221" s="2" t="inlineStr">
        <is>
          <t>150-5370-10H-P0452-019</t>
        </is>
      </c>
      <c r="B221" s="2" t="inlineStr">
        <is>
          <t>150-5370-10H.pdf</t>
        </is>
      </c>
      <c r="C221" s="2" t="n">
        <v>452</v>
      </c>
      <c r="D221" s="2" t="n">
        <v>19</v>
      </c>
      <c r="E221" s="2" t="inlineStr">
        <is>
          <t>The aggregate shall consist of sound, durable crushed igneous type stone (crushed basalt, granite, trap rock, etc.), clean washed masonry sand, or clean washed manufactured silica sand, be free from films of matter that would prevent thorough coating and bonding with the asphalt material and free from coatings of clay, organic matter, and other deleterious materials.</t>
        </is>
      </c>
      <c r="F221" s="2" t="inlineStr">
        <is>
          <t>Nē</t>
        </is>
      </c>
      <c r="G221" s="2" t="n"/>
    </row>
    <row r="222">
      <c r="A222" s="2" t="inlineStr">
        <is>
          <t>150-5370-10H-P0452-020</t>
        </is>
      </c>
      <c r="B222" s="2" t="inlineStr">
        <is>
          <t>150-5370-10H.pdf</t>
        </is>
      </c>
      <c r="C222" s="2" t="n">
        <v>452</v>
      </c>
      <c r="D222" s="2" t="n">
        <v>20</v>
      </c>
      <c r="E222" s="2" t="inlineStr">
        <is>
          <t>Aggregate shall have a minimum Mohs hardness of 6.</t>
        </is>
      </c>
      <c r="F222" s="2" t="inlineStr">
        <is>
          <t>Nē</t>
        </is>
      </c>
      <c r="G222" s="2" t="n"/>
    </row>
    <row r="223">
      <c r="A223" s="2" t="inlineStr">
        <is>
          <t>150-5370-10H-P0452-021</t>
        </is>
      </c>
      <c r="B223" s="2" t="inlineStr">
        <is>
          <t>150-5370-10H.pdf</t>
        </is>
      </c>
      <c r="C223" s="2" t="n">
        <v>452</v>
      </c>
      <c r="D223" s="2" t="n">
        <v>21</v>
      </c>
      <c r="E223" s="2" t="inlineStr">
        <is>
          <t>The aggregate shall meet the gradation in the table below when tested in accordance with ASTM C136.</t>
        </is>
      </c>
      <c r="F223" s="2" t="inlineStr">
        <is>
          <t>Nē</t>
        </is>
      </c>
      <c r="G223" s="2" t="n"/>
    </row>
    <row r="224">
      <c r="A224" s="2" t="inlineStr">
        <is>
          <t>150-5370-10H-P0452-022</t>
        </is>
      </c>
      <c r="B224" s="2" t="inlineStr">
        <is>
          <t>150-5370-10H.pdf</t>
        </is>
      </c>
      <c r="C224" s="2" t="n">
        <v>452</v>
      </c>
      <c r="D224" s="2" t="n">
        <v>22</v>
      </c>
      <c r="E224" s="2" t="inlineStr">
        <is>
          <t>The Contractor shall provide a certification showing particle size analysis and properties of the material delivered for use on the project.</t>
        </is>
      </c>
      <c r="F224" s="2" t="inlineStr">
        <is>
          <t>Jā</t>
        </is>
      </c>
      <c r="G224" s="2" t="n"/>
    </row>
    <row r="225">
      <c r="A225" s="2" t="inlineStr">
        <is>
          <t>150-5370-10H-P0452-023</t>
        </is>
      </c>
      <c r="B225" s="2" t="inlineStr">
        <is>
          <t>150-5370-10H.pdf</t>
        </is>
      </c>
      <c r="C225" s="2" t="n">
        <v>452</v>
      </c>
      <c r="D225" s="2" t="n">
        <v>23</v>
      </c>
      <c r="E225" s="2" t="inlineStr">
        <is>
          <t>Item P-629 Thermoplastic Coal Tar Emulsion Surface Treatments 444</t>
        </is>
      </c>
      <c r="F225" s="2" t="inlineStr">
        <is>
          <t>Nē</t>
        </is>
      </c>
      <c r="G225" s="2" t="n"/>
    </row>
    <row r="226">
      <c r="A226" s="2" t="inlineStr">
        <is>
          <t>150-5370-10H-P0503-001</t>
        </is>
      </c>
      <c r="B226" s="2" t="inlineStr">
        <is>
          <t>150-5370-10H.pdf</t>
        </is>
      </c>
      <c r="C226" s="2" t="n">
        <v>503</v>
      </c>
      <c r="D226" s="2" t="n">
        <v>1</v>
      </c>
      <c r="E226" s="2" t="inlineStr">
        <is>
          <t>12/21/2018 AC 150/5370-10H</t>
        </is>
      </c>
      <c r="F226" s="2" t="inlineStr">
        <is>
          <t>Nē</t>
        </is>
      </c>
      <c r="G226" s="2" t="n"/>
    </row>
    <row r="227">
      <c r="A227" s="2" t="inlineStr">
        <is>
          <t>150-5370-10H-P0503-002</t>
        </is>
      </c>
      <c r="B227" s="2" t="inlineStr">
        <is>
          <t>150-5370-10H.pdf</t>
        </is>
      </c>
      <c r="C227" s="2" t="n">
        <v>503</v>
      </c>
      <c r="D227" s="2" t="n">
        <v>2</v>
      </c>
      <c r="E227" s="2" t="inlineStr">
        <is>
          <t>extra wide, the designer will have to compute values to insert in the blanks using the computations for slab (or joint) movement based on the formula dL= 12 × C × L × (α × dT + ε) where dL = Joint opening caused by the temperature change and drying shrinkage of Portland cement concrete;</t>
        </is>
      </c>
      <c r="F227" s="2" t="inlineStr">
        <is>
          <t>Nē</t>
        </is>
      </c>
      <c r="G227" s="2" t="n"/>
    </row>
    <row r="228">
      <c r="A228" s="2" t="inlineStr">
        <is>
          <t>150-5370-10H-P0503-003</t>
        </is>
      </c>
      <c r="B228" s="2" t="inlineStr">
        <is>
          <t>150-5370-10H.pdf</t>
        </is>
      </c>
      <c r="C228" s="2" t="n">
        <v>503</v>
      </c>
      <c r="D228" s="2" t="n">
        <v>3</v>
      </c>
      <c r="E228" s="2" t="inlineStr">
        <is>
          <t>C = adjustment factor due to slab or base friction restraint;</t>
        </is>
      </c>
      <c r="F228" s="2" t="inlineStr">
        <is>
          <t>Nē</t>
        </is>
      </c>
      <c r="G228" s="2" t="n"/>
    </row>
    <row r="229">
      <c r="A229" s="2" t="inlineStr">
        <is>
          <t>150-5370-10H-P0503-004</t>
        </is>
      </c>
      <c r="B229" s="2" t="inlineStr">
        <is>
          <t>150-5370-10H.pdf</t>
        </is>
      </c>
      <c r="C229" s="2" t="n">
        <v>503</v>
      </c>
      <c r="D229" s="2" t="n">
        <v>4</v>
      </c>
      <c r="E229" s="2" t="inlineStr">
        <is>
          <t>L = Joint spacing; α = thermal coefficient of contraction for concrete; ε = drying shrinkage coefficient of concrete; and dT = temperature range.</t>
        </is>
      </c>
      <c r="F229" s="2" t="inlineStr">
        <is>
          <t>Nē</t>
        </is>
      </c>
      <c r="G229" s="2" t="n"/>
    </row>
    <row r="230">
      <c r="A230" s="2" t="inlineStr">
        <is>
          <t>150-5370-10H-P0503-005</t>
        </is>
      </c>
      <c r="B230" s="2" t="inlineStr">
        <is>
          <t>150-5370-10H.pdf</t>
        </is>
      </c>
      <c r="C230" s="2" t="n">
        <v>503</v>
      </c>
      <c r="D230" s="2" t="n">
        <v>5</v>
      </c>
      <c r="E230" s="2" t="inlineStr">
        <is>
          <t>Refer to Unified Facilities Criteria (UFC) 3-250-08FA for the steps required to compute the working range of joints and sealants.</t>
        </is>
      </c>
      <c r="F230" s="2" t="inlineStr">
        <is>
          <t>Nē</t>
        </is>
      </c>
      <c r="G230" s="2" t="n"/>
    </row>
    <row r="231">
      <c r="A231" s="2" t="inlineStr">
        <is>
          <t>150-5370-10H-P0503-006</t>
        </is>
      </c>
      <c r="B231" s="2" t="inlineStr">
        <is>
          <t>150-5370-10H.pdf</t>
        </is>
      </c>
      <c r="C231" s="2" t="n">
        <v>503</v>
      </c>
      <c r="D231" s="2" t="n">
        <v>6</v>
      </c>
      <c r="E231" s="2" t="inlineStr">
        <is>
          <t>b. Waterblast cleaning.</t>
        </is>
      </c>
      <c r="F231" s="2" t="inlineStr">
        <is>
          <t>Nē</t>
        </is>
      </c>
      <c r="G231" s="2" t="n"/>
    </row>
    <row r="232">
      <c r="A232" s="2" t="inlineStr">
        <is>
          <t>150-5370-10H-P0503-007</t>
        </is>
      </c>
      <c r="B232" s="2" t="inlineStr">
        <is>
          <t>150-5370-10H.pdf</t>
        </is>
      </c>
      <c r="C232" s="2" t="n">
        <v>503</v>
      </c>
      <c r="D232" s="2" t="n">
        <v>7</v>
      </c>
      <c r="E232" s="2" t="inlineStr">
        <is>
          <t>The concrete joint faces and pavement surfaces extending at least 1/2 inch (12 mm) from the joint edges shall be waterblasted clean.</t>
        </is>
      </c>
      <c r="F232" s="2" t="inlineStr">
        <is>
          <t>Nē</t>
        </is>
      </c>
      <c r="G232" s="2" t="n"/>
    </row>
    <row r="233">
      <c r="A233" s="2" t="inlineStr">
        <is>
          <t>150-5370-10H-P0503-008</t>
        </is>
      </c>
      <c r="B233" s="2" t="inlineStr">
        <is>
          <t>150-5370-10H.pdf</t>
        </is>
      </c>
      <c r="C233" s="2" t="n">
        <v>503</v>
      </c>
      <c r="D233" s="2" t="n">
        <v>8</v>
      </c>
      <c r="E233" s="2" t="inlineStr">
        <is>
          <t>A multiple pass technique shall be used until the surfaces are free of dust, dirt, curing compound, or any residue that might prevent ready insertion or uniform contact of the seal and bonding of the lubricant/adhesive to the concrete.</t>
        </is>
      </c>
      <c r="F233" s="2" t="inlineStr">
        <is>
          <t>Nē</t>
        </is>
      </c>
      <c r="G233" s="2" t="n"/>
    </row>
    <row r="234">
      <c r="A234" s="2" t="inlineStr">
        <is>
          <t>150-5370-10H-P0503-009</t>
        </is>
      </c>
      <c r="B234" s="2" t="inlineStr">
        <is>
          <t>150-5370-10H.pdf</t>
        </is>
      </c>
      <c r="C234" s="2" t="n">
        <v>503</v>
      </c>
      <c r="D234" s="2" t="n">
        <v>9</v>
      </c>
      <c r="E234" s="2" t="inlineStr">
        <is>
          <t>After final cleaning and immediately prior to sealing, the joints shall be blown out with compressed air and left completely free of debris and water.</t>
        </is>
      </c>
      <c r="F234" s="2" t="inlineStr">
        <is>
          <t>Nē</t>
        </is>
      </c>
      <c r="G234" s="2" t="n"/>
    </row>
    <row r="235">
      <c r="A235" s="2" t="inlineStr">
        <is>
          <t>150-5370-10H-P0503-010</t>
        </is>
      </c>
      <c r="B235" s="2" t="inlineStr">
        <is>
          <t>150-5370-10H.pdf</t>
        </is>
      </c>
      <c r="C235" s="2" t="n">
        <v>503</v>
      </c>
      <c r="D235" s="2" t="n">
        <v>10</v>
      </c>
      <c r="E235" s="2" t="inlineStr">
        <is>
          <t>c. Sandblast cleaning.</t>
        </is>
      </c>
      <c r="F235" s="2" t="inlineStr">
        <is>
          <t>Nē</t>
        </is>
      </c>
      <c r="G235" s="2" t="n"/>
    </row>
    <row r="236">
      <c r="A236" s="2" t="inlineStr">
        <is>
          <t>150-5370-10H-P0503-011</t>
        </is>
      </c>
      <c r="B236" s="2" t="inlineStr">
        <is>
          <t>150-5370-10H.pdf</t>
        </is>
      </c>
      <c r="C236" s="2" t="n">
        <v>503</v>
      </c>
      <c r="D236" s="2" t="n">
        <v>11</v>
      </c>
      <c r="E236" s="2" t="inlineStr">
        <is>
          <t>[ Sandblast cleaning is not allowed. ] [ The concrete joint faces and pavement surfaces extending at least 1/2 inch (12 mm) from the joint edges shall be sandblasted clean.</t>
        </is>
      </c>
      <c r="F236" s="2" t="inlineStr">
        <is>
          <t>Nē</t>
        </is>
      </c>
      <c r="G236" s="2" t="n"/>
    </row>
    <row r="237">
      <c r="A237" s="2" t="inlineStr">
        <is>
          <t>150-5370-10H-P0503-012</t>
        </is>
      </c>
      <c r="B237" s="2" t="inlineStr">
        <is>
          <t>150-5370-10H.pdf</t>
        </is>
      </c>
      <c r="C237" s="2" t="n">
        <v>503</v>
      </c>
      <c r="D237" s="2" t="n">
        <v>12</v>
      </c>
      <c r="E237" s="2" t="inlineStr">
        <is>
          <t>After final cleaning and immediately prior to sealing, the joints shall be blown out with compressed air and left completely free of debris and water. ]</t>
        </is>
      </c>
      <c r="F237" s="2" t="inlineStr">
        <is>
          <t>Nē</t>
        </is>
      </c>
      <c r="G237" s="2" t="n"/>
    </row>
    <row r="238">
      <c r="A238" s="2" t="inlineStr">
        <is>
          <t>150-5370-10H-P0503-013</t>
        </is>
      </c>
      <c r="B238" s="2" t="inlineStr">
        <is>
          <t>150-5370-10H.pdf</t>
        </is>
      </c>
      <c r="C238" s="2" t="n">
        <v>503</v>
      </c>
      <c r="D238" s="2" t="n">
        <v>13</v>
      </c>
      <c r="E238" s="2" t="inlineStr">
        <is>
          <t>Sandblasting should be shown as an option to waterblasting for new pavement installations.</t>
        </is>
      </c>
      <c r="F238" s="2" t="inlineStr">
        <is>
          <t>Nē</t>
        </is>
      </c>
      <c r="G238" s="2" t="n"/>
    </row>
    <row r="239">
      <c r="A239" s="2" t="inlineStr">
        <is>
          <t>150-5370-10H-P0503-014</t>
        </is>
      </c>
      <c r="B239" s="2" t="inlineStr">
        <is>
          <t>150-5370-10H.pdf</t>
        </is>
      </c>
      <c r="C239" s="2" t="n">
        <v>503</v>
      </c>
      <c r="D239" s="2" t="n">
        <v>14</v>
      </c>
      <c r="E239" s="2" t="inlineStr">
        <is>
          <t>Sandblasting of joints may not be permitted under certain conditions.</t>
        </is>
      </c>
      <c r="F239" s="2" t="inlineStr">
        <is>
          <t>Nē</t>
        </is>
      </c>
      <c r="G239" s="2" t="n"/>
    </row>
    <row r="240">
      <c r="A240" s="2" t="inlineStr">
        <is>
          <t>150-5370-10H-P0503-015</t>
        </is>
      </c>
      <c r="B240" s="2" t="inlineStr">
        <is>
          <t>150-5370-10H.pdf</t>
        </is>
      </c>
      <c r="C240" s="2" t="n">
        <v>503</v>
      </c>
      <c r="D240" s="2" t="n">
        <v>15</v>
      </c>
      <c r="E240" s="2" t="inlineStr">
        <is>
          <t>Blowing sand and dust may either violate atmospheric pollution statutes, or may drift into areas where it would be objectionable.</t>
        </is>
      </c>
      <c r="F240" s="2" t="inlineStr">
        <is>
          <t>Nē</t>
        </is>
      </c>
      <c r="G240" s="2" t="n"/>
    </row>
    <row r="241">
      <c r="A241" s="2" t="inlineStr">
        <is>
          <t>150-5370-10H-P0503-016</t>
        </is>
      </c>
      <c r="B241" s="2" t="inlineStr">
        <is>
          <t>150-5370-10H.pdf</t>
        </is>
      </c>
      <c r="C241" s="2" t="n">
        <v>503</v>
      </c>
      <c r="D241" s="2" t="n">
        <v>16</v>
      </c>
      <c r="E241" s="2" t="inlineStr">
        <is>
          <t>When sandblasting is prohibited, cleaning the joints with waterblasting equipment may be used.</t>
        </is>
      </c>
      <c r="F241" s="2" t="inlineStr">
        <is>
          <t>Nē</t>
        </is>
      </c>
      <c r="G241" s="2" t="n"/>
    </row>
    <row r="242">
      <c r="A242" s="2" t="inlineStr">
        <is>
          <t>150-5370-10H-P0503-017</t>
        </is>
      </c>
      <c r="B242" s="2" t="inlineStr">
        <is>
          <t>150-5370-10H.pdf</t>
        </is>
      </c>
      <c r="C242" s="2" t="n">
        <v>503</v>
      </c>
      <c r="D242" s="2" t="n">
        <v>17</v>
      </c>
      <c r="E242" s="2" t="inlineStr">
        <is>
          <t>d. Rate of progress.</t>
        </is>
      </c>
      <c r="F242" s="2" t="inlineStr">
        <is>
          <t>Nē</t>
        </is>
      </c>
      <c r="G242" s="2" t="n"/>
    </row>
    <row r="243">
      <c r="A243" s="2" t="inlineStr">
        <is>
          <t>150-5370-10H-P0503-018</t>
        </is>
      </c>
      <c r="B243" s="2" t="inlineStr">
        <is>
          <t>150-5370-10H.pdf</t>
        </is>
      </c>
      <c r="C243" s="2" t="n">
        <v>503</v>
      </c>
      <c r="D243" s="2" t="n">
        <v>18</v>
      </c>
      <c r="E243" s="2" t="inlineStr">
        <is>
          <t>Cleaning of the joint faces shall be limited to the linear footage of joint that can be sealed during the same workday.</t>
        </is>
      </c>
      <c r="F243" s="2" t="inlineStr">
        <is>
          <t>Nē</t>
        </is>
      </c>
      <c r="G243" s="2" t="n"/>
    </row>
    <row r="244">
      <c r="A244" s="2" t="inlineStr">
        <is>
          <t>150-5370-10H-P0503-019</t>
        </is>
      </c>
      <c r="B244" s="2" t="inlineStr">
        <is>
          <t>150-5370-10H.pdf</t>
        </is>
      </c>
      <c r="C244" s="2" t="n">
        <v>503</v>
      </c>
      <c r="D244" s="2" t="n">
        <v>19</v>
      </c>
      <c r="E244" s="2" t="inlineStr">
        <is>
          <t>604-4.4 Installation of the compression seal.</t>
        </is>
      </c>
      <c r="F244" s="2" t="inlineStr">
        <is>
          <t>Nē</t>
        </is>
      </c>
      <c r="G244" s="2" t="n"/>
    </row>
    <row r="245">
      <c r="A245" s="2" t="inlineStr">
        <is>
          <t>150-5370-10H-P0503-020</t>
        </is>
      </c>
      <c r="B245" s="2" t="inlineStr">
        <is>
          <t>150-5370-10H.pdf</t>
        </is>
      </c>
      <c r="C245" s="2" t="n">
        <v>503</v>
      </c>
      <c r="D245" s="2" t="n">
        <v>20</v>
      </c>
      <c r="E245" s="2" t="inlineStr">
        <is>
          <t>a. Time of installation.</t>
        </is>
      </c>
      <c r="F245" s="2" t="inlineStr">
        <is>
          <t>Nē</t>
        </is>
      </c>
      <c r="G245" s="2" t="n"/>
    </row>
    <row r="246">
      <c r="A246" s="2" t="inlineStr">
        <is>
          <t>150-5370-10H-P0503-021</t>
        </is>
      </c>
      <c r="B246" s="2" t="inlineStr">
        <is>
          <t>150-5370-10H.pdf</t>
        </is>
      </c>
      <c r="C246" s="2" t="n">
        <v>503</v>
      </c>
      <c r="D246" s="2" t="n">
        <v>21</v>
      </c>
      <c r="E246" s="2" t="inlineStr">
        <is>
          <t>Joints shall be sealed within [ 3 ] calendar days of sawing the joint seal cavity and the final cleaning of the joint walls, or a temporary seal shall be installed to prevent infiltration of foreign material.</t>
        </is>
      </c>
      <c r="F246" s="2" t="inlineStr">
        <is>
          <t>Nē</t>
        </is>
      </c>
      <c r="G246" s="2" t="n"/>
    </row>
    <row r="247">
      <c r="A247" s="2" t="inlineStr">
        <is>
          <t>150-5370-10H-P0503-022</t>
        </is>
      </c>
      <c r="B247" s="2" t="inlineStr">
        <is>
          <t>150-5370-10H.pdf</t>
        </is>
      </c>
      <c r="C247" s="2" t="n">
        <v>503</v>
      </c>
      <c r="D247" s="2" t="n">
        <v>22</v>
      </c>
      <c r="E247" s="2" t="inlineStr">
        <is>
          <t>If rain interrupts the sealing operations, the joints shall be washed, cleaned with air and be dry before proceeding with installing of the lubricant/adhesive and compression seal.</t>
        </is>
      </c>
      <c r="F247" s="2" t="inlineStr">
        <is>
          <t>Nē</t>
        </is>
      </c>
      <c r="G247" s="2" t="n"/>
    </row>
    <row r="248">
      <c r="A248" s="2" t="inlineStr">
        <is>
          <t>150-5370-10H-P0503-023</t>
        </is>
      </c>
      <c r="B248" s="2" t="inlineStr">
        <is>
          <t>150-5370-10H.pdf</t>
        </is>
      </c>
      <c r="C248" s="2" t="n">
        <v>503</v>
      </c>
      <c r="D248" s="2" t="n">
        <v>23</v>
      </c>
      <c r="E248" s="2" t="inlineStr">
        <is>
          <t>b. Installation Sequence.</t>
        </is>
      </c>
      <c r="F248" s="2" t="inlineStr">
        <is>
          <t>Nē</t>
        </is>
      </c>
      <c r="G248" s="2" t="n"/>
    </row>
    <row r="249">
      <c r="A249" s="2" t="inlineStr">
        <is>
          <t>150-5370-10H-P0503-024</t>
        </is>
      </c>
      <c r="B249" s="2" t="inlineStr">
        <is>
          <t>150-5370-10H.pdf</t>
        </is>
      </c>
      <c r="C249" s="2" t="n">
        <v>503</v>
      </c>
      <c r="D249" s="2" t="n">
        <v>24</v>
      </c>
      <c r="E249" s="2" t="inlineStr">
        <is>
          <t>Longitudinal joints shall be sealed first, then seal the transverse joints.</t>
        </is>
      </c>
      <c r="F249" s="2" t="inlineStr">
        <is>
          <t>Nē</t>
        </is>
      </c>
      <c r="G249" s="2" t="n"/>
    </row>
    <row r="250">
      <c r="A250" s="2" t="inlineStr">
        <is>
          <t>150-5370-10H-P0503-025</t>
        </is>
      </c>
      <c r="B250" s="2" t="inlineStr">
        <is>
          <t>150-5370-10H.pdf</t>
        </is>
      </c>
      <c r="C250" s="2" t="n">
        <v>503</v>
      </c>
      <c r="D250" s="2" t="n">
        <v>25</v>
      </c>
      <c r="E250" s="2" t="inlineStr">
        <is>
          <t>Transverse joint seals will be continuous from edge to edge of the pavement.</t>
        </is>
      </c>
      <c r="F250" s="2" t="inlineStr">
        <is>
          <t>Nē</t>
        </is>
      </c>
      <c r="G250" s="2" t="n"/>
    </row>
    <row r="251">
      <c r="A251" s="2" t="inlineStr">
        <is>
          <t>150-5370-10H-P0503-026</t>
        </is>
      </c>
      <c r="B251" s="2" t="inlineStr">
        <is>
          <t>150-5370-10H.pdf</t>
        </is>
      </c>
      <c r="C251" s="2" t="n">
        <v>503</v>
      </c>
      <c r="D251" s="2" t="n">
        <v>26</v>
      </c>
      <c r="E251" s="2" t="inlineStr">
        <is>
          <t>Intersections shall be made monolithic by use of joint seal adhesive and care in fitting the intersection parts together.</t>
        </is>
      </c>
      <c r="F251" s="2" t="inlineStr">
        <is>
          <t>Nē</t>
        </is>
      </c>
      <c r="G251" s="2" t="n"/>
    </row>
    <row r="252">
      <c r="A252" s="2" t="inlineStr">
        <is>
          <t>150-5370-10H-P0503-027</t>
        </is>
      </c>
      <c r="B252" s="2" t="inlineStr">
        <is>
          <t>150-5370-10H.pdf</t>
        </is>
      </c>
      <c r="C252" s="2" t="n">
        <v>503</v>
      </c>
      <c r="D252" s="2" t="n">
        <v>27</v>
      </c>
      <c r="E252" s="2" t="inlineStr">
        <is>
          <t>Seals which do not reach an intersection shall be removed and replaced with new seal as directed by the RPR at the Contractor’s Expense.</t>
        </is>
      </c>
      <c r="F252" s="2" t="inlineStr">
        <is>
          <t>Nē</t>
        </is>
      </c>
      <c r="G252" s="2" t="n"/>
    </row>
    <row r="253">
      <c r="A253" s="2" t="inlineStr">
        <is>
          <t>150-5370-10H-P0503-028</t>
        </is>
      </c>
      <c r="B253" s="2" t="inlineStr">
        <is>
          <t>150-5370-10H.pdf</t>
        </is>
      </c>
      <c r="C253" s="2" t="n">
        <v>503</v>
      </c>
      <c r="D253" s="2" t="n">
        <v>28</v>
      </c>
      <c r="E253" s="2" t="inlineStr">
        <is>
          <t>Seal extender pieces shall not be used at intersections.</t>
        </is>
      </c>
      <c r="F253" s="2" t="inlineStr">
        <is>
          <t>Nē</t>
        </is>
      </c>
      <c r="G253" s="2" t="n"/>
    </row>
    <row r="254">
      <c r="A254" s="2" t="inlineStr">
        <is>
          <t>150-5370-10H-P0503-029</t>
        </is>
      </c>
      <c r="B254" s="2" t="inlineStr">
        <is>
          <t>150-5370-10H.pdf</t>
        </is>
      </c>
      <c r="C254" s="2" t="n">
        <v>503</v>
      </c>
      <c r="D254" s="2" t="n">
        <v>29</v>
      </c>
      <c r="E254" s="2" t="inlineStr">
        <is>
          <t>Item P-604 Compression Joint Seals for Concrete Pavements 495</t>
        </is>
      </c>
      <c r="F254" s="2" t="inlineStr">
        <is>
          <t>Nē</t>
        </is>
      </c>
      <c r="G254" s="2" t="n"/>
    </row>
    <row r="255">
      <c r="A255" s="2" t="inlineStr">
        <is>
          <t>150-5370-10H-P0515-001</t>
        </is>
      </c>
      <c r="B255" s="2" t="inlineStr">
        <is>
          <t>150-5370-10H.pdf</t>
        </is>
      </c>
      <c r="C255" s="2" t="n">
        <v>515</v>
      </c>
      <c r="D255" s="2" t="n">
        <v>1</v>
      </c>
      <c r="E255" s="2" t="inlineStr">
        <is>
          <t>12/21/2018 AC 150/5370-10H</t>
        </is>
      </c>
      <c r="F255" s="2" t="inlineStr">
        <is>
          <t>Nē</t>
        </is>
      </c>
      <c r="G255" s="2" t="n"/>
    </row>
    <row r="256">
      <c r="A256" s="2" t="inlineStr">
        <is>
          <t>150-5370-10H-P0515-002</t>
        </is>
      </c>
      <c r="B256" s="2" t="inlineStr">
        <is>
          <t>150-5370-10H.pdf</t>
        </is>
      </c>
      <c r="C256" s="2" t="n">
        <v>515</v>
      </c>
      <c r="D256" s="2" t="n">
        <v>2</v>
      </c>
      <c r="E256" s="2" t="inlineStr">
        <is>
          <t>with adhesive mixture and allowed to cure at room temperature for a period of time to meet formulation requirements and then tested to failure on a Riehle (or similar) tensile tester.</t>
        </is>
      </c>
      <c r="F256" s="2" t="inlineStr">
        <is>
          <t>Nē</t>
        </is>
      </c>
      <c r="G256" s="2" t="n"/>
    </row>
    <row r="257">
      <c r="A257" s="2" t="inlineStr">
        <is>
          <t>150-5370-10H-P0515-003</t>
        </is>
      </c>
      <c r="B257" s="2" t="inlineStr">
        <is>
          <t>150-5370-10H.pdf</t>
        </is>
      </c>
      <c r="C257" s="2" t="n">
        <v>515</v>
      </c>
      <c r="D257" s="2" t="n">
        <v>3</v>
      </c>
      <c r="E257" s="2" t="inlineStr">
        <is>
          <t>The thickness of adhesive to be tested shall be 1/4 inch (6 mm).</t>
        </is>
      </c>
      <c r="F257" s="2" t="inlineStr">
        <is>
          <t>Nē</t>
        </is>
      </c>
      <c r="G257" s="2" t="n"/>
    </row>
    <row r="258">
      <c r="A258" s="2" t="inlineStr">
        <is>
          <t>150-5370-10H-P0515-004</t>
        </is>
      </c>
      <c r="B258" s="2" t="inlineStr">
        <is>
          <t>150-5370-10H.pdf</t>
        </is>
      </c>
      <c r="C258" s="2" t="n">
        <v>515</v>
      </c>
      <c r="D258" s="2" t="n">
        <v>4</v>
      </c>
      <c r="E258" s="2" t="inlineStr">
        <is>
          <t>606-3.6 Adhesion to Portland cement concrete</t>
        </is>
      </c>
      <c r="F258" s="2" t="inlineStr">
        <is>
          <t>Nē</t>
        </is>
      </c>
      <c r="G258" s="2" t="n"/>
    </row>
    <row r="259">
      <c r="A259" s="2" t="inlineStr">
        <is>
          <t>150-5370-10H-P0515-005</t>
        </is>
      </c>
      <c r="B259" s="2" t="inlineStr">
        <is>
          <t>150-5370-10H.pdf</t>
        </is>
      </c>
      <c r="C259" s="2" t="n">
        <v>515</v>
      </c>
      <c r="D259" s="2" t="n">
        <v>5</v>
      </c>
      <c r="E259" s="2" t="inlineStr">
        <is>
          <t>a. Concrete test block preparation.</t>
        </is>
      </c>
      <c r="F259" s="2" t="inlineStr">
        <is>
          <t>Nē</t>
        </is>
      </c>
      <c r="G259" s="2" t="n"/>
    </row>
    <row r="260">
      <c r="A260" s="2" t="inlineStr">
        <is>
          <t>150-5370-10H-P0515-006</t>
        </is>
      </c>
      <c r="B260" s="2" t="inlineStr">
        <is>
          <t>150-5370-10H.pdf</t>
        </is>
      </c>
      <c r="C260" s="2" t="n">
        <v>515</v>
      </c>
      <c r="D260" s="2" t="n">
        <v>6</v>
      </c>
      <c r="E260" s="2" t="inlineStr">
        <is>
          <t>The aggregate grading shall be as shown in Table 2.</t>
        </is>
      </c>
      <c r="F260" s="2" t="inlineStr">
        <is>
          <t>Nē</t>
        </is>
      </c>
      <c r="G260" s="2" t="n"/>
    </row>
    <row r="261">
      <c r="A261" s="2" t="inlineStr">
        <is>
          <t>150-5370-10H-P0515-007</t>
        </is>
      </c>
      <c r="B261" s="2" t="inlineStr">
        <is>
          <t>150-5370-10H.pdf</t>
        </is>
      </c>
      <c r="C261" s="2" t="n">
        <v>515</v>
      </c>
      <c r="D261" s="2" t="n">
        <v>7</v>
      </c>
      <c r="E261" s="2" t="inlineStr">
        <is>
          <t>The coarse aggregate shall consist of crushed rock having a minimum of 75% of the particles with at least one fractured face and having a water absorption of not more than 1.5%.</t>
        </is>
      </c>
      <c r="F261" s="2" t="inlineStr">
        <is>
          <t>Nē</t>
        </is>
      </c>
      <c r="G261" s="2" t="n"/>
    </row>
    <row r="262">
      <c r="A262" s="2" t="inlineStr">
        <is>
          <t>150-5370-10H-P0515-008</t>
        </is>
      </c>
      <c r="B262" s="2" t="inlineStr">
        <is>
          <t>150-5370-10H.pdf</t>
        </is>
      </c>
      <c r="C262" s="2" t="n">
        <v>515</v>
      </c>
      <c r="D262" s="2" t="n">
        <v>8</v>
      </c>
      <c r="E262" s="2" t="inlineStr">
        <is>
          <t>The fine aggregate shall consist of crushed sand manufactured from the same parent rock as the coarse aggregate.</t>
        </is>
      </c>
      <c r="F262" s="2" t="inlineStr">
        <is>
          <t>Nē</t>
        </is>
      </c>
      <c r="G262" s="2" t="n"/>
    </row>
    <row r="263">
      <c r="A263" s="2" t="inlineStr">
        <is>
          <t>150-5370-10H-P0515-009</t>
        </is>
      </c>
      <c r="B263" s="2" t="inlineStr">
        <is>
          <t>150-5370-10H.pdf</t>
        </is>
      </c>
      <c r="C263" s="2" t="n">
        <v>515</v>
      </c>
      <c r="D263" s="2" t="n">
        <v>9</v>
      </c>
      <c r="E263" s="2" t="inlineStr">
        <is>
          <t>The concrete shall have a water-cement ratio of 5.5 gallons (21 liters) of water per bag of cement, a cement factor of 6, ±0.5, bags of cement per cubic yard (0.76 cubic meter) of concrete, and a slump of 2-1/2 inch (60 mm), ±1/2 inch (60 mm ±12 mm).</t>
        </is>
      </c>
      <c r="F263" s="2" t="inlineStr">
        <is>
          <t>Nē</t>
        </is>
      </c>
      <c r="G263" s="2" t="n"/>
    </row>
    <row r="264">
      <c r="A264" s="2" t="inlineStr">
        <is>
          <t>150-5370-10H-P0515-010</t>
        </is>
      </c>
      <c r="B264" s="2" t="inlineStr">
        <is>
          <t>150-5370-10H.pdf</t>
        </is>
      </c>
      <c r="C264" s="2" t="n">
        <v>515</v>
      </c>
      <c r="D264" s="2" t="n">
        <v>10</v>
      </c>
      <c r="E264" s="2" t="inlineStr">
        <is>
          <t>The ratio of fine aggregate to total aggregate shall be approximately 40% by solid volume.</t>
        </is>
      </c>
      <c r="F264" s="2" t="inlineStr">
        <is>
          <t>Nē</t>
        </is>
      </c>
      <c r="G264" s="2" t="n"/>
    </row>
    <row r="265">
      <c r="A265" s="2" t="inlineStr">
        <is>
          <t>150-5370-10H-P0515-011</t>
        </is>
      </c>
      <c r="B265" s="2" t="inlineStr">
        <is>
          <t>150-5370-10H.pdf</t>
        </is>
      </c>
      <c r="C265" s="2" t="n">
        <v>515</v>
      </c>
      <c r="D265" s="2" t="n">
        <v>11</v>
      </c>
      <c r="E265" s="2" t="inlineStr">
        <is>
          <t>The air content shall be 5.0%, ±0.5%, and it shall be obtained by the addition to the batch of an air-entraining admixture such as Vinsol® resin.</t>
        </is>
      </c>
      <c r="F265" s="2" t="inlineStr">
        <is>
          <t>Nē</t>
        </is>
      </c>
      <c r="G265" s="2" t="n"/>
    </row>
    <row r="266">
      <c r="A266" s="2" t="inlineStr">
        <is>
          <t>150-5370-10H-P0515-012</t>
        </is>
      </c>
      <c r="B266" s="2" t="inlineStr">
        <is>
          <t>150-5370-10H.pdf</t>
        </is>
      </c>
      <c r="C266" s="2" t="n">
        <v>515</v>
      </c>
      <c r="D266" s="2" t="n">
        <v>12</v>
      </c>
      <c r="E266" s="2" t="inlineStr">
        <is>
          <t>The mold shall be of metal and shall be provided with a metal base plate.</t>
        </is>
      </c>
      <c r="F266" s="2" t="inlineStr">
        <is>
          <t>Nē</t>
        </is>
      </c>
      <c r="G266" s="2" t="n"/>
    </row>
    <row r="267">
      <c r="A267" s="2" t="inlineStr">
        <is>
          <t>150-5370-10H-P0515-013</t>
        </is>
      </c>
      <c r="B267" s="2" t="inlineStr">
        <is>
          <t>150-5370-10H.pdf</t>
        </is>
      </c>
      <c r="C267" s="2" t="n">
        <v>515</v>
      </c>
      <c r="D267" s="2" t="n">
        <v>13</v>
      </c>
      <c r="E267" s="2" t="inlineStr">
        <is>
          <t>Means shall be provided for securing the base plate to the mold.</t>
        </is>
      </c>
      <c r="F267" s="2" t="inlineStr">
        <is>
          <t>Nē</t>
        </is>
      </c>
      <c r="G267" s="2" t="n"/>
    </row>
    <row r="268">
      <c r="A268" s="2" t="inlineStr">
        <is>
          <t>150-5370-10H-P0515-014</t>
        </is>
      </c>
      <c r="B268" s="2" t="inlineStr">
        <is>
          <t>150-5370-10H.pdf</t>
        </is>
      </c>
      <c r="C268" s="2" t="n">
        <v>515</v>
      </c>
      <c r="D268" s="2" t="n">
        <v>14</v>
      </c>
      <c r="E268" s="2" t="inlineStr">
        <is>
          <t>The assembled mold and base plate shall be watertight and shall be oiled with mineral oil before use.</t>
        </is>
      </c>
      <c r="F268" s="2" t="inlineStr">
        <is>
          <t>Nē</t>
        </is>
      </c>
      <c r="G268" s="2" t="n"/>
    </row>
    <row r="269">
      <c r="A269" s="2" t="inlineStr">
        <is>
          <t>150-5370-10H-P0515-015</t>
        </is>
      </c>
      <c r="B269" s="2" t="inlineStr">
        <is>
          <t>150-5370-10H.pdf</t>
        </is>
      </c>
      <c r="C269" s="2" t="n">
        <v>515</v>
      </c>
      <c r="D269" s="2" t="n">
        <v>15</v>
      </c>
      <c r="E269" s="2" t="inlineStr">
        <is>
          <t>The inside measurement of the mold shall be such that several one inch (25 mm) by 2-inch (75 mm) by 3-inch (25 mm by 50 mm by 75 mm) test blocks can be cut from the specimen with a concrete saw having a diamond blade.</t>
        </is>
      </c>
      <c r="F269" s="2" t="inlineStr">
        <is>
          <t>Nē</t>
        </is>
      </c>
      <c r="G269" s="2" t="n"/>
    </row>
    <row r="270">
      <c r="A270" s="2" t="inlineStr">
        <is>
          <t>150-5370-10H-P0515-016</t>
        </is>
      </c>
      <c r="B270" s="2" t="inlineStr">
        <is>
          <t>150-5370-10H.pdf</t>
        </is>
      </c>
      <c r="C270" s="2" t="n">
        <v>515</v>
      </c>
      <c r="D270" s="2" t="n">
        <v>16</v>
      </c>
      <c r="E270" s="2" t="inlineStr">
        <is>
          <t>The concrete shall be prepared and cured in accordance with ASTM C192.</t>
        </is>
      </c>
      <c r="F270" s="2" t="inlineStr">
        <is>
          <t>Nē</t>
        </is>
      </c>
      <c r="G270" s="2" t="n"/>
    </row>
    <row r="271">
      <c r="A271" s="2" t="inlineStr">
        <is>
          <t>150-5370-10H-P0515-017</t>
        </is>
      </c>
      <c r="B271" s="2" t="inlineStr">
        <is>
          <t>150-5370-10H.pdf</t>
        </is>
      </c>
      <c r="C271" s="2" t="n">
        <v>515</v>
      </c>
      <c r="D271" s="2" t="n">
        <v>17</v>
      </c>
      <c r="E271" s="2" t="inlineStr">
        <is>
          <t>Table 2.</t>
        </is>
      </c>
      <c r="F271" s="2" t="inlineStr">
        <is>
          <t>Nē</t>
        </is>
      </c>
      <c r="G271" s="2" t="n"/>
    </row>
    <row r="272">
      <c r="A272" s="2" t="inlineStr">
        <is>
          <t>150-5370-10H-P0515-018</t>
        </is>
      </c>
      <c r="B272" s="2" t="inlineStr">
        <is>
          <t>150-5370-10H.pdf</t>
        </is>
      </c>
      <c r="C272" s="2" t="n">
        <v>515</v>
      </c>
      <c r="D272" s="2" t="n">
        <v>18</v>
      </c>
      <c r="E272" s="2" t="inlineStr">
        <is>
          <t>Aggregate for Bond Test Blocks</t>
        </is>
      </c>
      <c r="F272" s="2" t="inlineStr">
        <is>
          <t>Nē</t>
        </is>
      </c>
      <c r="G272" s="2" t="n"/>
    </row>
    <row r="273">
      <c r="A273" s="2" t="inlineStr">
        <is>
          <t>150-5370-10H-P0515-019</t>
        </is>
      </c>
      <c r="B273" s="2" t="inlineStr">
        <is>
          <t>150-5370-10H.pdf</t>
        </is>
      </c>
      <c r="C273" s="2" t="n">
        <v>515</v>
      </c>
      <c r="D273" s="2" t="n">
        <v>19</v>
      </c>
      <c r="E273" s="2" t="inlineStr">
        <is>
          <t>Type Sieve Size Percent Passing Coarse Aggregate 3/4 inch (19.0 mm) 97 to 100 1/2 inch (12.5 mm) 63 to 69 3/8 inch (9.5 mm) 30 to 36 No.</t>
        </is>
      </c>
      <c r="F273" s="2" t="inlineStr">
        <is>
          <t>Nē</t>
        </is>
      </c>
      <c r="G273" s="2" t="n"/>
    </row>
    <row r="274">
      <c r="A274" s="2" t="inlineStr">
        <is>
          <t>150-5370-10H-P0515-020</t>
        </is>
      </c>
      <c r="B274" s="2" t="inlineStr">
        <is>
          <t>150-5370-10H.pdf</t>
        </is>
      </c>
      <c r="C274" s="2" t="n">
        <v>515</v>
      </c>
      <c r="D274" s="2" t="n">
        <v>20</v>
      </c>
      <c r="E274" s="2" t="inlineStr">
        <is>
          <t>4 (4.75 mm) 0 to 3 Fine Aggregate No.</t>
        </is>
      </c>
      <c r="F274" s="2" t="inlineStr">
        <is>
          <t>Nē</t>
        </is>
      </c>
      <c r="G274" s="2" t="n"/>
    </row>
    <row r="275">
      <c r="A275" s="2" t="inlineStr">
        <is>
          <t>150-5370-10H-P0515-021</t>
        </is>
      </c>
      <c r="B275" s="2" t="inlineStr">
        <is>
          <t>150-5370-10H.pdf</t>
        </is>
      </c>
      <c r="C275" s="2" t="n">
        <v>515</v>
      </c>
      <c r="D275" s="2" t="n">
        <v>21</v>
      </c>
      <c r="E275" s="2" t="inlineStr">
        <is>
          <t>4 (4.75 mm) 100 No.</t>
        </is>
      </c>
      <c r="F275" s="2" t="inlineStr">
        <is>
          <t>Nē</t>
        </is>
      </c>
      <c r="G275" s="2" t="n"/>
    </row>
    <row r="276">
      <c r="A276" s="2" t="inlineStr">
        <is>
          <t>150-5370-10H-P0515-022</t>
        </is>
      </c>
      <c r="B276" s="2" t="inlineStr">
        <is>
          <t>150-5370-10H.pdf</t>
        </is>
      </c>
      <c r="C276" s="2" t="n">
        <v>515</v>
      </c>
      <c r="D276" s="2" t="n">
        <v>22</v>
      </c>
      <c r="E276" s="2" t="inlineStr">
        <is>
          <t>8 (2.36 mm) 82 to 88 No.</t>
        </is>
      </c>
      <c r="F276" s="2" t="inlineStr">
        <is>
          <t>Nē</t>
        </is>
      </c>
      <c r="G276" s="2" t="n"/>
    </row>
    <row r="277">
      <c r="A277" s="2" t="inlineStr">
        <is>
          <t>150-5370-10H-P0515-023</t>
        </is>
      </c>
      <c r="B277" s="2" t="inlineStr">
        <is>
          <t>150-5370-10H.pdf</t>
        </is>
      </c>
      <c r="C277" s="2" t="n">
        <v>515</v>
      </c>
      <c r="D277" s="2" t="n">
        <v>23</v>
      </c>
      <c r="E277" s="2" t="inlineStr">
        <is>
          <t>16 (1.18 mm) 60 to 70 No.</t>
        </is>
      </c>
      <c r="F277" s="2" t="inlineStr">
        <is>
          <t>Nē</t>
        </is>
      </c>
      <c r="G277" s="2" t="n"/>
    </row>
    <row r="278">
      <c r="A278" s="2" t="inlineStr">
        <is>
          <t>150-5370-10H-P0515-024</t>
        </is>
      </c>
      <c r="B278" s="2" t="inlineStr">
        <is>
          <t>150-5370-10H.pdf</t>
        </is>
      </c>
      <c r="C278" s="2" t="n">
        <v>515</v>
      </c>
      <c r="D278" s="2" t="n">
        <v>24</v>
      </c>
      <c r="E278" s="2" t="inlineStr">
        <is>
          <t>30 (600 μm) 40 to 50 No.</t>
        </is>
      </c>
      <c r="F278" s="2" t="inlineStr">
        <is>
          <t>Nē</t>
        </is>
      </c>
      <c r="G278" s="2" t="n"/>
    </row>
    <row r="279">
      <c r="A279" s="2" t="inlineStr">
        <is>
          <t>150-5370-10H-P0515-025</t>
        </is>
      </c>
      <c r="B279" s="2" t="inlineStr">
        <is>
          <t>150-5370-10H.pdf</t>
        </is>
      </c>
      <c r="C279" s="2" t="n">
        <v>515</v>
      </c>
      <c r="D279" s="2" t="n">
        <v>25</v>
      </c>
      <c r="E279" s="2" t="inlineStr">
        <is>
          <t>50 (300 μm) 16 to 26 No.</t>
        </is>
      </c>
      <c r="F279" s="2" t="inlineStr">
        <is>
          <t>Nē</t>
        </is>
      </c>
      <c r="G279" s="2" t="n"/>
    </row>
    <row r="280">
      <c r="A280" s="2" t="inlineStr">
        <is>
          <t>150-5370-10H-P0515-026</t>
        </is>
      </c>
      <c r="B280" s="2" t="inlineStr">
        <is>
          <t>150-5370-10H.pdf</t>
        </is>
      </c>
      <c r="C280" s="2" t="n">
        <v>515</v>
      </c>
      <c r="D280" s="2" t="n">
        <v>26</v>
      </c>
      <c r="E280" s="2" t="inlineStr">
        <is>
          <t>100 (150 μm) 5 to 9</t>
        </is>
      </c>
      <c r="F280" s="2" t="inlineStr">
        <is>
          <t>Nē</t>
        </is>
      </c>
      <c r="G280" s="2" t="n"/>
    </row>
    <row r="281">
      <c r="A281" s="2" t="inlineStr">
        <is>
          <t>150-5370-10H-P0515-027</t>
        </is>
      </c>
      <c r="B281" s="2" t="inlineStr">
        <is>
          <t>150-5370-10H.pdf</t>
        </is>
      </c>
      <c r="C281" s="2" t="n">
        <v>515</v>
      </c>
      <c r="D281" s="2" t="n">
        <v>27</v>
      </c>
      <c r="E281" s="2" t="inlineStr">
        <is>
          <t>b. Bond test.</t>
        </is>
      </c>
      <c r="F281" s="2" t="inlineStr">
        <is>
          <t>Nē</t>
        </is>
      </c>
      <c r="G281" s="2" t="n"/>
    </row>
    <row r="282">
      <c r="A282" s="2" t="inlineStr">
        <is>
          <t>150-5370-10H-P0515-028</t>
        </is>
      </c>
      <c r="B282" s="2" t="inlineStr">
        <is>
          <t>150-5370-10H.pdf</t>
        </is>
      </c>
      <c r="C282" s="2" t="n">
        <v>515</v>
      </c>
      <c r="D282" s="2" t="n">
        <v>28</v>
      </c>
      <c r="E282" s="2" t="inlineStr">
        <is>
          <t>Prior to use, oven-dry the test blocks to constant weight at a temperature of 220°F to 230°F (104°C to 110°C), cool to room temperature, 73.4°F ±3°F (23°C ±1.6°C), in a desiccator, and clean the surface of the blocks of film or powder by vigorous brushing with a stiff-bristled fiber brush.</t>
        </is>
      </c>
      <c r="F282" s="2" t="inlineStr">
        <is>
          <t>Nē</t>
        </is>
      </c>
      <c r="G282" s="2" t="n"/>
    </row>
    <row r="283">
      <c r="A283" s="2" t="inlineStr">
        <is>
          <t>150-5370-10H-P0515-029</t>
        </is>
      </c>
      <c r="B283" s="2" t="inlineStr">
        <is>
          <t>150-5370-10H.pdf</t>
        </is>
      </c>
      <c r="C283" s="2" t="n">
        <v>515</v>
      </c>
      <c r="D283" s="2" t="n">
        <v>29</v>
      </c>
      <c r="E283" s="2" t="inlineStr">
        <is>
          <t>Two test blocks shall be bonded together on the one inch by 3 inch (25 mm by 75 mm) sawed face with the adhesive mixture and allowed to cure at room temperature for a period of time to meet formulation requirements and then tested to failure in a Riehle (or similar) tensile tester.</t>
        </is>
      </c>
      <c r="F283" s="2" t="inlineStr">
        <is>
          <t>Nē</t>
        </is>
      </c>
      <c r="G283" s="2" t="n"/>
    </row>
    <row r="284">
      <c r="A284" s="2" t="inlineStr">
        <is>
          <t>150-5370-10H-P0515-030</t>
        </is>
      </c>
      <c r="B284" s="2" t="inlineStr">
        <is>
          <t>150-5370-10H.pdf</t>
        </is>
      </c>
      <c r="C284" s="2" t="n">
        <v>515</v>
      </c>
      <c r="D284" s="2" t="n">
        <v>30</v>
      </c>
      <c r="E284" s="2" t="inlineStr">
        <is>
          <t>The thickness of the adhesive to be tested shall be 1/4 inch (6 mm).</t>
        </is>
      </c>
      <c r="F284" s="2" t="inlineStr">
        <is>
          <t>Nē</t>
        </is>
      </c>
      <c r="G284" s="2" t="n"/>
    </row>
    <row r="285">
      <c r="A285" s="2" t="inlineStr">
        <is>
          <t>150-5370-10H-P0515-031</t>
        </is>
      </c>
      <c r="B285" s="2" t="inlineStr">
        <is>
          <t>150-5370-10H.pdf</t>
        </is>
      </c>
      <c r="C285" s="2" t="n">
        <v>515</v>
      </c>
      <c r="D285" s="2" t="n">
        <v>31</v>
      </c>
      <c r="E285" s="2" t="inlineStr">
        <is>
          <t>606-3.7 Compatibility with asphalt mix.</t>
        </is>
      </c>
      <c r="F285" s="2" t="inlineStr">
        <is>
          <t>Nē</t>
        </is>
      </c>
      <c r="G285" s="2" t="n"/>
    </row>
    <row r="286">
      <c r="A286" s="2" t="inlineStr">
        <is>
          <t>150-5370-10H-P0515-032</t>
        </is>
      </c>
      <c r="B286" s="2" t="inlineStr">
        <is>
          <t>150-5370-10H.pdf</t>
        </is>
      </c>
      <c r="C286" s="2" t="n">
        <v>515</v>
      </c>
      <c r="D286" s="2" t="n">
        <v>32</v>
      </c>
      <c r="E286" s="2" t="inlineStr">
        <is>
          <t>Test for compatibility with asphalt in accordance with ASTM D5329.</t>
        </is>
      </c>
      <c r="F286" s="2" t="inlineStr">
        <is>
          <t>Nē</t>
        </is>
      </c>
      <c r="G286" s="2" t="n"/>
    </row>
    <row r="287">
      <c r="A287" s="2" t="inlineStr">
        <is>
          <t>150-5370-10H-P0515-033</t>
        </is>
      </c>
      <c r="B287" s="2" t="inlineStr">
        <is>
          <t>150-5370-10H.pdf</t>
        </is>
      </c>
      <c r="C287" s="2" t="n">
        <v>515</v>
      </c>
      <c r="D287" s="2" t="n">
        <v>33</v>
      </c>
      <c r="E287" s="2" t="inlineStr">
        <is>
          <t>606-3.8 Adhesive compounds - Contractor’s responsibility.</t>
        </is>
      </c>
      <c r="F287" s="2" t="inlineStr">
        <is>
          <t>Nē</t>
        </is>
      </c>
      <c r="G287" s="2" t="n"/>
    </row>
    <row r="288">
      <c r="A288" s="2" t="inlineStr">
        <is>
          <t>150-5370-10H-P0515-034</t>
        </is>
      </c>
      <c r="B288" s="2" t="inlineStr">
        <is>
          <t>150-5370-10H.pdf</t>
        </is>
      </c>
      <c r="C288" s="2" t="n">
        <v>515</v>
      </c>
      <c r="D288" s="2" t="n">
        <v>34</v>
      </c>
      <c r="E288" s="2" t="inlineStr">
        <is>
          <t>The Contractor shall furnish the vendor’s certified test reports for each batch of material delivered to the project.</t>
        </is>
      </c>
      <c r="F288" s="2" t="inlineStr">
        <is>
          <t>Jā</t>
        </is>
      </c>
      <c r="G288" s="2" t="n"/>
    </row>
    <row r="289">
      <c r="A289" s="2" t="inlineStr">
        <is>
          <t>150-5370-10H-P0515-035</t>
        </is>
      </c>
      <c r="B289" s="2" t="inlineStr">
        <is>
          <t>150-5370-10H.pdf</t>
        </is>
      </c>
      <c r="C289" s="2" t="n">
        <v>515</v>
      </c>
      <c r="D289" s="2" t="n">
        <v>35</v>
      </c>
      <c r="E289" s="2" t="inlineStr">
        <is>
          <t>The report shall certify that the</t>
        </is>
      </c>
      <c r="F289" s="2" t="inlineStr">
        <is>
          <t>?</t>
        </is>
      </c>
      <c r="G289" s="2" t="n"/>
    </row>
    <row r="290">
      <c r="A290" s="2" t="inlineStr">
        <is>
          <t>150-5370-10H-P0515-036</t>
        </is>
      </c>
      <c r="B290" s="2" t="inlineStr">
        <is>
          <t>150-5370-10H.pdf</t>
        </is>
      </c>
      <c r="C290" s="2" t="n">
        <v>515</v>
      </c>
      <c r="D290" s="2" t="n">
        <v>36</v>
      </c>
      <c r="E290" s="2" t="inlineStr">
        <is>
          <t>Item P-606 Adhesive Compounds, Two-Component for Sealing Wire and Lights in Pavement 507</t>
        </is>
      </c>
      <c r="F290" s="2" t="inlineStr">
        <is>
          <t>Nē</t>
        </is>
      </c>
      <c r="G290" s="2" t="n"/>
    </row>
    <row r="291">
      <c r="A291" s="2" t="inlineStr">
        <is>
          <t>150-5370-10H-P0525-001</t>
        </is>
      </c>
      <c r="B291" s="2" t="inlineStr">
        <is>
          <t>150-5370-10H.pdf</t>
        </is>
      </c>
      <c r="C291" s="2" t="n">
        <v>525</v>
      </c>
      <c r="D291" s="2" t="n">
        <v>1</v>
      </c>
      <c r="E291" s="2" t="inlineStr">
        <is>
          <t>12/21/2018 AC 150/5370-10H</t>
        </is>
      </c>
      <c r="F291" s="2" t="inlineStr">
        <is>
          <t>Nē</t>
        </is>
      </c>
      <c r="G291" s="2" t="n"/>
    </row>
    <row r="292">
      <c r="A292" s="2" t="inlineStr">
        <is>
          <t>150-5370-10H-P0525-002</t>
        </is>
      </c>
      <c r="B292" s="2" t="inlineStr">
        <is>
          <t>150-5370-10H.pdf</t>
        </is>
      </c>
      <c r="C292" s="2" t="n">
        <v>525</v>
      </c>
      <c r="D292" s="2" t="n">
        <v>2</v>
      </c>
      <c r="E292" s="2" t="inlineStr">
        <is>
          <t>plans ] [ lump sum ] [ considered incidental and no separate measurement shall be made. ] of concrete complete in place and accepted.</t>
        </is>
      </c>
      <c r="F292" s="2" t="inlineStr">
        <is>
          <t>Nē</t>
        </is>
      </c>
      <c r="G292" s="2" t="n"/>
    </row>
    <row r="293">
      <c r="A293" s="2" t="inlineStr">
        <is>
          <t>150-5370-10H-P0525-003</t>
        </is>
      </c>
      <c r="B293" s="2" t="inlineStr">
        <is>
          <t>150-5370-10H.pdf</t>
        </is>
      </c>
      <c r="C293" s="2" t="n">
        <v>525</v>
      </c>
      <c r="D293" s="2" t="n">
        <v>3</v>
      </c>
      <c r="E293" s="2" t="inlineStr">
        <is>
          <t>BASIS OF PAYMENT</t>
        </is>
      </c>
      <c r="F293" s="2" t="inlineStr">
        <is>
          <t>Nē</t>
        </is>
      </c>
      <c r="G293" s="2" t="n"/>
    </row>
    <row r="294">
      <c r="A294" s="2" t="inlineStr">
        <is>
          <t>150-5370-10H-P0525-004</t>
        </is>
      </c>
      <c r="B294" s="2" t="inlineStr">
        <is>
          <t>150-5370-10H.pdf</t>
        </is>
      </c>
      <c r="C294" s="2" t="n">
        <v>525</v>
      </c>
      <c r="D294" s="2" t="n">
        <v>4</v>
      </c>
      <c r="E294" s="2" t="inlineStr">
        <is>
          <t>610-6.1 Payment shall be made at the contract price [ by the number of cubic yards (cubic meters) based on batch tickets of material ] [ by the number of square yards (square meters) ] [ lump sum ] [ concrete shall be considered incidental and no separate payment shall be made. ] This price shall be full compensation for furnishing all materials including reinforcement and embedded items and for all preparation, delivery, installation, and curing of these materials, and for all labor, equipment, tools, and incidentals necessary to complete the item.</t>
        </is>
      </c>
      <c r="F294" s="2" t="inlineStr">
        <is>
          <t>Nē</t>
        </is>
      </c>
      <c r="G294" s="2" t="n"/>
    </row>
    <row r="295">
      <c r="A295" s="2" t="inlineStr">
        <is>
          <t>150-5370-10H-P0525-005</t>
        </is>
      </c>
      <c r="B295" s="2" t="inlineStr">
        <is>
          <t>150-5370-10H.pdf</t>
        </is>
      </c>
      <c r="C295" s="2" t="n">
        <v>525</v>
      </c>
      <c r="D295" s="2" t="n">
        <v>5</v>
      </c>
      <c r="E295" s="2" t="inlineStr">
        <is>
          <t>Payment will be made under:</t>
        </is>
      </c>
      <c r="F295" s="2" t="inlineStr">
        <is>
          <t>Nē</t>
        </is>
      </c>
      <c r="G295" s="2" t="n"/>
    </row>
    <row r="296">
      <c r="A296" s="2" t="inlineStr">
        <is>
          <t>150-5370-10H-P0525-006</t>
        </is>
      </c>
      <c r="B296" s="2" t="inlineStr">
        <is>
          <t>150-5370-10H.pdf</t>
        </is>
      </c>
      <c r="C296" s="2" t="n">
        <v>525</v>
      </c>
      <c r="D296" s="2" t="n">
        <v>6</v>
      </c>
      <c r="E296" s="2" t="inlineStr">
        <is>
          <t>Item P-610-6.1 Concrete, [ per cubic yards (cubic meters) ] [ per</t>
        </is>
      </c>
      <c r="F296" s="2" t="inlineStr">
        <is>
          <t>Nē</t>
        </is>
      </c>
      <c r="G296" s="2" t="n"/>
    </row>
    <row r="297">
      <c r="A297" s="2" t="inlineStr">
        <is>
          <t>150-5370-10H-P0525-007</t>
        </is>
      </c>
      <c r="B297" s="2" t="inlineStr">
        <is>
          <t>150-5370-10H.pdf</t>
        </is>
      </c>
      <c r="C297" s="2" t="n">
        <v>525</v>
      </c>
      <c r="D297" s="2" t="n">
        <v>7</v>
      </c>
      <c r="E297" s="2" t="inlineStr">
        <is>
          <t>square yards (square meters) ] [ lump sum ] [ incidental to other work items ]</t>
        </is>
      </c>
      <c r="F297" s="2" t="inlineStr">
        <is>
          <t>Nē</t>
        </is>
      </c>
      <c r="G297" s="2" t="n"/>
    </row>
    <row r="298">
      <c r="A298" s="2" t="inlineStr">
        <is>
          <t>150-5370-10H-P0525-008</t>
        </is>
      </c>
      <c r="B298" s="2" t="inlineStr">
        <is>
          <t>150-5370-10H.pdf</t>
        </is>
      </c>
      <c r="C298" s="2" t="n">
        <v>525</v>
      </c>
      <c r="D298" s="2" t="n">
        <v>8</v>
      </c>
      <c r="E298" s="2" t="inlineStr">
        <is>
          <t>REFERENCES</t>
        </is>
      </c>
      <c r="F298" s="2" t="inlineStr">
        <is>
          <t>Nē</t>
        </is>
      </c>
      <c r="G298" s="2" t="n"/>
    </row>
    <row r="299">
      <c r="A299" s="2" t="inlineStr">
        <is>
          <t>150-5370-10H-P0525-009</t>
        </is>
      </c>
      <c r="B299" s="2" t="inlineStr">
        <is>
          <t>150-5370-10H.pdf</t>
        </is>
      </c>
      <c r="C299" s="2" t="n">
        <v>525</v>
      </c>
      <c r="D299" s="2" t="n">
        <v>9</v>
      </c>
      <c r="E299" s="2" t="inlineStr">
        <is>
          <t>The publications listed below form a part of this specification to the extent referenced.</t>
        </is>
      </c>
      <c r="F299" s="2" t="inlineStr">
        <is>
          <t>Nē</t>
        </is>
      </c>
      <c r="G299" s="2" t="n"/>
    </row>
    <row r="300">
      <c r="A300" s="2" t="inlineStr">
        <is>
          <t>150-5370-10H-P0525-010</t>
        </is>
      </c>
      <c r="B300" s="2" t="inlineStr">
        <is>
          <t>150-5370-10H.pdf</t>
        </is>
      </c>
      <c r="C300" s="2" t="n">
        <v>525</v>
      </c>
      <c r="D300" s="2" t="n">
        <v>10</v>
      </c>
      <c r="E300" s="2" t="inlineStr">
        <is>
          <t>The publications are referred to within the text by the basic designation only.</t>
        </is>
      </c>
      <c r="F300" s="2" t="inlineStr">
        <is>
          <t>Nē</t>
        </is>
      </c>
      <c r="G300" s="2" t="n"/>
    </row>
    <row r="301">
      <c r="A301" s="2" t="inlineStr">
        <is>
          <t>150-5370-10H-P0525-011</t>
        </is>
      </c>
      <c r="B301" s="2" t="inlineStr">
        <is>
          <t>150-5370-10H.pdf</t>
        </is>
      </c>
      <c r="C301" s="2" t="n">
        <v>525</v>
      </c>
      <c r="D301" s="2" t="n">
        <v>11</v>
      </c>
      <c r="E301" s="2" t="inlineStr">
        <is>
          <t>ASTM International (ASTM)</t>
        </is>
      </c>
      <c r="F301" s="2" t="inlineStr">
        <is>
          <t>Nē</t>
        </is>
      </c>
      <c r="G301" s="2" t="n"/>
    </row>
    <row r="302">
      <c r="A302" s="2" t="inlineStr">
        <is>
          <t>150-5370-10H-P0525-012</t>
        </is>
      </c>
      <c r="B302" s="2" t="inlineStr">
        <is>
          <t>150-5370-10H.pdf</t>
        </is>
      </c>
      <c r="C302" s="2" t="n">
        <v>525</v>
      </c>
      <c r="D302" s="2" t="n">
        <v>12</v>
      </c>
      <c r="E302" s="2" t="inlineStr">
        <is>
          <t>ASTM A184 Standard Specification for Welded Deformed Steel Bar Mats for Concrete Reinforcement</t>
        </is>
      </c>
      <c r="F302" s="2" t="inlineStr">
        <is>
          <t>Nē</t>
        </is>
      </c>
      <c r="G302" s="2" t="n"/>
    </row>
    <row r="303">
      <c r="A303" s="2" t="inlineStr">
        <is>
          <t>150-5370-10H-P0525-013</t>
        </is>
      </c>
      <c r="B303" s="2" t="inlineStr">
        <is>
          <t>150-5370-10H.pdf</t>
        </is>
      </c>
      <c r="C303" s="2" t="n">
        <v>525</v>
      </c>
      <c r="D303" s="2" t="n">
        <v>13</v>
      </c>
      <c r="E303" s="2" t="inlineStr">
        <is>
          <t>ASTM A615 Standard Specification for Deformed and Plain Carbon-Steel Bars for Concrete Reinforcement</t>
        </is>
      </c>
      <c r="F303" s="2" t="inlineStr">
        <is>
          <t>Nē</t>
        </is>
      </c>
      <c r="G303" s="2" t="n"/>
    </row>
    <row r="304">
      <c r="A304" s="2" t="inlineStr">
        <is>
          <t>150-5370-10H-P0525-014</t>
        </is>
      </c>
      <c r="B304" s="2" t="inlineStr">
        <is>
          <t>150-5370-10H.pdf</t>
        </is>
      </c>
      <c r="C304" s="2" t="n">
        <v>525</v>
      </c>
      <c r="D304" s="2" t="n">
        <v>14</v>
      </c>
      <c r="E304" s="2" t="inlineStr">
        <is>
          <t>ASTM A704 Standard Specification for Welded Steel Plain Bar or Rod Mats for Concrete Reinforcement</t>
        </is>
      </c>
      <c r="F304" s="2" t="inlineStr">
        <is>
          <t>Nē</t>
        </is>
      </c>
      <c r="G304" s="2" t="n"/>
    </row>
    <row r="305">
      <c r="A305" s="2" t="inlineStr">
        <is>
          <t>150-5370-10H-P0525-015</t>
        </is>
      </c>
      <c r="B305" s="2" t="inlineStr">
        <is>
          <t>150-5370-10H.pdf</t>
        </is>
      </c>
      <c r="C305" s="2" t="n">
        <v>525</v>
      </c>
      <c r="D305" s="2" t="n">
        <v>15</v>
      </c>
      <c r="E305" s="2" t="inlineStr">
        <is>
          <t>ASTM A706 Standard Specification for Low-Alloy Steel Deformed and Plain Bars for Concrete Reinforcement</t>
        </is>
      </c>
      <c r="F305" s="2" t="inlineStr">
        <is>
          <t>Nē</t>
        </is>
      </c>
      <c r="G305" s="2" t="n"/>
    </row>
    <row r="306">
      <c r="A306" s="2" t="inlineStr">
        <is>
          <t>150-5370-10H-P0525-016</t>
        </is>
      </c>
      <c r="B306" s="2" t="inlineStr">
        <is>
          <t>150-5370-10H.pdf</t>
        </is>
      </c>
      <c r="C306" s="2" t="n">
        <v>525</v>
      </c>
      <c r="D306" s="2" t="n">
        <v>16</v>
      </c>
      <c r="E306" s="2" t="inlineStr">
        <is>
          <t>ASTM A775 Standard Specification for Epoxy-Coated Steel Reinforcing Bars</t>
        </is>
      </c>
      <c r="F306" s="2" t="inlineStr">
        <is>
          <t>Nē</t>
        </is>
      </c>
      <c r="G306" s="2" t="n"/>
    </row>
    <row r="307">
      <c r="A307" s="2" t="inlineStr">
        <is>
          <t>150-5370-10H-P0525-017</t>
        </is>
      </c>
      <c r="B307" s="2" t="inlineStr">
        <is>
          <t>150-5370-10H.pdf</t>
        </is>
      </c>
      <c r="C307" s="2" t="n">
        <v>525</v>
      </c>
      <c r="D307" s="2" t="n">
        <v>17</v>
      </c>
      <c r="E307" s="2" t="inlineStr">
        <is>
          <t>ASTM A884 Standard Specification for Epoxy-Coated Steel Wire and Welded Wire Reinforcement</t>
        </is>
      </c>
      <c r="F307" s="2" t="inlineStr">
        <is>
          <t>Nē</t>
        </is>
      </c>
      <c r="G307" s="2" t="n"/>
    </row>
    <row r="308">
      <c r="A308" s="2" t="inlineStr">
        <is>
          <t>150-5370-10H-P0525-018</t>
        </is>
      </c>
      <c r="B308" s="2" t="inlineStr">
        <is>
          <t>150-5370-10H.pdf</t>
        </is>
      </c>
      <c r="C308" s="2" t="n">
        <v>525</v>
      </c>
      <c r="D308" s="2" t="n">
        <v>18</v>
      </c>
      <c r="E308" s="2" t="inlineStr">
        <is>
          <t>ASTM A934 Standard Specification for Epoxy-Coated Prefabricated Steel Reinforcing Bars</t>
        </is>
      </c>
      <c r="F308" s="2" t="inlineStr">
        <is>
          <t>Nē</t>
        </is>
      </c>
      <c r="G308" s="2" t="n"/>
    </row>
    <row r="309">
      <c r="A309" s="2" t="inlineStr">
        <is>
          <t>150-5370-10H-P0525-019</t>
        </is>
      </c>
      <c r="B309" s="2" t="inlineStr">
        <is>
          <t>150-5370-10H.pdf</t>
        </is>
      </c>
      <c r="C309" s="2" t="n">
        <v>525</v>
      </c>
      <c r="D309" s="2" t="n">
        <v>19</v>
      </c>
      <c r="E309" s="2" t="inlineStr">
        <is>
          <t>ASTM A1064 Standard Specification for Carbon-Steel Wire and Welded Wire Reinforcement, Plain and Deformed, for Concrete</t>
        </is>
      </c>
      <c r="F309" s="2" t="inlineStr">
        <is>
          <t>Nē</t>
        </is>
      </c>
      <c r="G309" s="2" t="n"/>
    </row>
    <row r="310">
      <c r="A310" s="2" t="inlineStr">
        <is>
          <t>150-5370-10H-P0525-020</t>
        </is>
      </c>
      <c r="B310" s="2" t="inlineStr">
        <is>
          <t>150-5370-10H.pdf</t>
        </is>
      </c>
      <c r="C310" s="2" t="n">
        <v>525</v>
      </c>
      <c r="D310" s="2" t="n">
        <v>20</v>
      </c>
      <c r="E310" s="2" t="inlineStr">
        <is>
          <t>ASTM C31 Standard Practice for Making and Curing Concrete Test Specimens in the Field</t>
        </is>
      </c>
      <c r="F310" s="2" t="inlineStr">
        <is>
          <t>Nē</t>
        </is>
      </c>
      <c r="G310" s="2" t="n"/>
    </row>
    <row r="311">
      <c r="A311" s="2" t="inlineStr">
        <is>
          <t>150-5370-10H-P0525-021</t>
        </is>
      </c>
      <c r="B311" s="2" t="inlineStr">
        <is>
          <t>150-5370-10H.pdf</t>
        </is>
      </c>
      <c r="C311" s="2" t="n">
        <v>525</v>
      </c>
      <c r="D311" s="2" t="n">
        <v>21</v>
      </c>
      <c r="E311" s="2" t="inlineStr">
        <is>
          <t>ASTM C33 Standard Specification for Concrete Aggregates</t>
        </is>
      </c>
      <c r="F311" s="2" t="inlineStr">
        <is>
          <t>Nē</t>
        </is>
      </c>
      <c r="G311" s="2" t="n"/>
    </row>
    <row r="312">
      <c r="A312" s="2" t="inlineStr">
        <is>
          <t>150-5370-10H-P0525-022</t>
        </is>
      </c>
      <c r="B312" s="2" t="inlineStr">
        <is>
          <t>150-5370-10H.pdf</t>
        </is>
      </c>
      <c r="C312" s="2" t="n">
        <v>525</v>
      </c>
      <c r="D312" s="2" t="n">
        <v>22</v>
      </c>
      <c r="E312" s="2" t="inlineStr">
        <is>
          <t>ASTM C39 Standard Test Method for Compressive Strength of Cylindrical Concrete Specimens</t>
        </is>
      </c>
      <c r="F312" s="2" t="inlineStr">
        <is>
          <t>Nē</t>
        </is>
      </c>
      <c r="G312" s="2" t="n"/>
    </row>
    <row r="313">
      <c r="A313" s="2" t="inlineStr">
        <is>
          <t>150-5370-10H-P0525-023</t>
        </is>
      </c>
      <c r="B313" s="2" t="inlineStr">
        <is>
          <t>150-5370-10H.pdf</t>
        </is>
      </c>
      <c r="C313" s="2" t="n">
        <v>525</v>
      </c>
      <c r="D313" s="2" t="n">
        <v>23</v>
      </c>
      <c r="E313" s="2" t="inlineStr">
        <is>
          <t>Item P-610 Concrete for Miscellaneous Structures 517</t>
        </is>
      </c>
      <c r="F313" s="2" t="inlineStr">
        <is>
          <t>Nē</t>
        </is>
      </c>
      <c r="G313" s="2" t="n"/>
    </row>
    <row r="314">
      <c r="A314" s="2" t="inlineStr">
        <is>
          <t>150-5370-10H-P0561-001</t>
        </is>
      </c>
      <c r="B314" s="2" t="inlineStr">
        <is>
          <t>150-5370-10H.pdf</t>
        </is>
      </c>
      <c r="C314" s="2" t="n">
        <v>561</v>
      </c>
      <c r="D314" s="2" t="n">
        <v>1</v>
      </c>
      <c r="E314" s="2" t="inlineStr">
        <is>
          <t>12/21/2018 AC 150/5370-10H</t>
        </is>
      </c>
      <c r="F314" s="2" t="inlineStr">
        <is>
          <t>Nē</t>
        </is>
      </c>
      <c r="G314" s="2" t="n"/>
    </row>
    <row r="315">
      <c r="A315" s="2" t="inlineStr">
        <is>
          <t>150-5370-10H-P0561-002</t>
        </is>
      </c>
      <c r="B315" s="2" t="inlineStr">
        <is>
          <t>150-5370-10H.pdf</t>
        </is>
      </c>
      <c r="C315" s="2" t="n">
        <v>561</v>
      </c>
      <c r="D315" s="2" t="n">
        <v>2</v>
      </c>
      <c r="E315" s="2" t="inlineStr">
        <is>
          <t>Item F-162 Chain-Link Fence</t>
        </is>
      </c>
      <c r="F315" s="2" t="inlineStr">
        <is>
          <t>Nē</t>
        </is>
      </c>
      <c r="G315" s="2" t="n"/>
    </row>
    <row r="316">
      <c r="A316" s="2" t="inlineStr">
        <is>
          <t>150-5370-10H-P0561-003</t>
        </is>
      </c>
      <c r="B316" s="2" t="inlineStr">
        <is>
          <t>150-5370-10H.pdf</t>
        </is>
      </c>
      <c r="C316" s="2" t="n">
        <v>561</v>
      </c>
      <c r="D316" s="2" t="n">
        <v>3</v>
      </c>
      <c r="E316" s="2" t="inlineStr">
        <is>
          <t>This specification may be edited as necessary to match the approved wildlife hazard assessment and /or security plan.</t>
        </is>
      </c>
      <c r="F316" s="2" t="inlineStr">
        <is>
          <t>Nē</t>
        </is>
      </c>
      <c r="G316" s="2" t="n"/>
    </row>
    <row r="317">
      <c r="A317" s="2" t="inlineStr">
        <is>
          <t>150-5370-10H-P0561-004</t>
        </is>
      </c>
      <c r="B317" s="2" t="inlineStr">
        <is>
          <t>150-5370-10H.pdf</t>
        </is>
      </c>
      <c r="C317" s="2" t="n">
        <v>561</v>
      </c>
      <c r="D317" s="2" t="n">
        <v>4</v>
      </c>
      <c r="E317" s="2" t="inlineStr">
        <is>
          <t>Security fencing is intended to slow the access of pedestrians and vehicles onto an airport as outlined in a 1542 Security Plan.</t>
        </is>
      </c>
      <c r="F317" s="2" t="inlineStr">
        <is>
          <t>Nē</t>
        </is>
      </c>
      <c r="G317" s="2" t="n"/>
    </row>
    <row r="318">
      <c r="A318" s="2" t="inlineStr">
        <is>
          <t>150-5370-10H-P0561-005</t>
        </is>
      </c>
      <c r="B318" s="2" t="inlineStr">
        <is>
          <t>150-5370-10H.pdf</t>
        </is>
      </c>
      <c r="C318" s="2" t="n">
        <v>561</v>
      </c>
      <c r="D318" s="2" t="n">
        <v>5</v>
      </c>
      <c r="E318" s="2" t="inlineStr">
        <is>
          <t>See AIP Handbook FAA Order 5300.38 for guidance on eligibility of federal funds for fencing.</t>
        </is>
      </c>
      <c r="F318" s="2" t="inlineStr">
        <is>
          <t>Nē</t>
        </is>
      </c>
      <c r="G318" s="2" t="n"/>
    </row>
    <row r="319">
      <c r="A319" s="2" t="inlineStr">
        <is>
          <t>150-5370-10H-P0561-006</t>
        </is>
      </c>
      <c r="B319" s="2" t="inlineStr">
        <is>
          <t>150-5370-10H.pdf</t>
        </is>
      </c>
      <c r="C319" s="2" t="n">
        <v>561</v>
      </c>
      <c r="D319" s="2" t="n">
        <v>6</v>
      </c>
      <c r="E319" s="2" t="inlineStr">
        <is>
          <t>Prior to specifying fencing material on a federally funded project the type and nature of fencing will depend upon what purpose the fence is intended for.</t>
        </is>
      </c>
      <c r="F319" s="2" t="inlineStr">
        <is>
          <t>Nē</t>
        </is>
      </c>
      <c r="G319" s="2" t="n"/>
    </row>
    <row r="320">
      <c r="A320" s="2" t="inlineStr">
        <is>
          <t>150-5370-10H-P0561-007</t>
        </is>
      </c>
      <c r="B320" s="2" t="inlineStr">
        <is>
          <t>150-5370-10H.pdf</t>
        </is>
      </c>
      <c r="C320" s="2" t="n">
        <v>561</v>
      </c>
      <c r="D320" s="2" t="n">
        <v>7</v>
      </c>
      <c r="E320" s="2" t="inlineStr">
        <is>
          <t>Perimeter fencing is typically used to designate the boundary of property, typically this is woven wire or barb wire type fencing.</t>
        </is>
      </c>
      <c r="F320" s="2" t="inlineStr">
        <is>
          <t>Nē</t>
        </is>
      </c>
      <c r="G320" s="2" t="n"/>
    </row>
    <row r="321">
      <c r="A321" s="2" t="inlineStr">
        <is>
          <t>150-5370-10H-P0561-008</t>
        </is>
      </c>
      <c r="B321" s="2" t="inlineStr">
        <is>
          <t>150-5370-10H.pdf</t>
        </is>
      </c>
      <c r="C321" s="2" t="n">
        <v>561</v>
      </c>
      <c r="D321" s="2" t="n">
        <v>8</v>
      </c>
      <c r="E321" s="2" t="inlineStr">
        <is>
          <t>Wildlife fencing is to impede the entry of wildlife onto an airport is as outlined in a Wildlife Hazard Assessment Plan.</t>
        </is>
      </c>
      <c r="F321" s="2" t="inlineStr">
        <is>
          <t>Nē</t>
        </is>
      </c>
      <c r="G321" s="2" t="n"/>
    </row>
    <row r="322">
      <c r="A322" s="2" t="inlineStr">
        <is>
          <t>150-5370-10H-P0561-009</t>
        </is>
      </c>
      <c r="B322" s="2" t="inlineStr">
        <is>
          <t>150-5370-10H.pdf</t>
        </is>
      </c>
      <c r="C322" s="2" t="n">
        <v>561</v>
      </c>
      <c r="D322" s="2" t="n">
        <v>9</v>
      </c>
      <c r="E322" s="2" t="inlineStr">
        <is>
          <t>All steel and manufactured goods provided for this item must meet the Buy American provisions contained in this contract.</t>
        </is>
      </c>
      <c r="F322" s="2" t="inlineStr">
        <is>
          <t>Nē</t>
        </is>
      </c>
      <c r="G322" s="2" t="n"/>
    </row>
    <row r="323">
      <c r="A323" s="2" t="inlineStr">
        <is>
          <t>150-5370-10H-P0561-010</t>
        </is>
      </c>
      <c r="B323" s="2" t="inlineStr">
        <is>
          <t>150-5370-10H.pdf</t>
        </is>
      </c>
      <c r="C323" s="2" t="n">
        <v>561</v>
      </c>
      <c r="D323" s="2" t="n">
        <v>10</v>
      </c>
      <c r="E323" s="2" t="inlineStr">
        <is>
          <t>DESCRIPTION</t>
        </is>
      </c>
      <c r="F323" s="2" t="inlineStr">
        <is>
          <t>Nē</t>
        </is>
      </c>
      <c r="G323" s="2" t="n"/>
    </row>
    <row r="324">
      <c r="A324" s="2" t="inlineStr">
        <is>
          <t>150-5370-10H-P0561-011</t>
        </is>
      </c>
      <c r="B324" s="2" t="inlineStr">
        <is>
          <t>150-5370-10H.pdf</t>
        </is>
      </c>
      <c r="C324" s="2" t="n">
        <v>561</v>
      </c>
      <c r="D324" s="2" t="n">
        <v>11</v>
      </c>
      <c r="E324" s="2" t="inlineStr">
        <is>
          <t>162-1.1 This item shall consist of furnishing and erecting a chain-link fence in accordance with these specifications, the details shown on the plans, and in conformity with the lines and grades shown on the plans or established by the RPR.</t>
        </is>
      </c>
      <c r="F324" s="2" t="inlineStr">
        <is>
          <t>Nē</t>
        </is>
      </c>
      <c r="G324" s="2" t="n"/>
    </row>
    <row r="325">
      <c r="A325" s="2" t="inlineStr">
        <is>
          <t>150-5370-10H-P0561-012</t>
        </is>
      </c>
      <c r="B325" s="2" t="inlineStr">
        <is>
          <t>150-5370-10H.pdf</t>
        </is>
      </c>
      <c r="C325" s="2" t="n">
        <v>561</v>
      </c>
      <c r="D325" s="2" t="n">
        <v>12</v>
      </c>
      <c r="E325" s="2" t="inlineStr">
        <is>
          <t>MATERIALS</t>
        </is>
      </c>
      <c r="F325" s="2" t="inlineStr">
        <is>
          <t>Nē</t>
        </is>
      </c>
      <c r="G325" s="2" t="n"/>
    </row>
    <row r="326">
      <c r="A326" s="2" t="inlineStr">
        <is>
          <t>150-5370-10H-P0561-013</t>
        </is>
      </c>
      <c r="B326" s="2" t="inlineStr">
        <is>
          <t>150-5370-10H.pdf</t>
        </is>
      </c>
      <c r="C326" s="2" t="n">
        <v>561</v>
      </c>
      <c r="D326" s="2" t="n">
        <v>13</v>
      </c>
      <c r="E326" s="2" t="inlineStr">
        <is>
          <t>162-2.1 Fabric.</t>
        </is>
      </c>
      <c r="F326" s="2" t="inlineStr">
        <is>
          <t>Nē</t>
        </is>
      </c>
      <c r="G326" s="2" t="n"/>
    </row>
    <row r="327">
      <c r="A327" s="2" t="inlineStr">
        <is>
          <t>150-5370-10H-P0561-014</t>
        </is>
      </c>
      <c r="B327" s="2" t="inlineStr">
        <is>
          <t>150-5370-10H.pdf</t>
        </is>
      </c>
      <c r="C327" s="2" t="n">
        <v>561</v>
      </c>
      <c r="D327" s="2" t="n">
        <v>14</v>
      </c>
      <c r="E327" s="2" t="inlineStr">
        <is>
          <t>[ The fabric shall be woven with a 9-gauge [ galvanized steel wire ] [ polyvinyl chloride (PVC)-coated steel ] [ aluminum alloy ] [ zinc-5% aluminum mischmetal ] wire in a 2-inch (50 mm) mesh and shall meet the requirements of [ ]. ] [ The fabric shall be woven from a [ ] gauge aluminum-coated steel wire in a 2-inch (50 mm) mesh and shall conform to the requirements of ASTM A491. ]</t>
        </is>
      </c>
      <c r="F327" s="2" t="inlineStr">
        <is>
          <t>Nē</t>
        </is>
      </c>
      <c r="G327" s="2" t="n"/>
    </row>
    <row r="328">
      <c r="A328" s="2" t="inlineStr">
        <is>
          <t>150-5370-10H-P0561-015</t>
        </is>
      </c>
      <c r="B328" s="2" t="inlineStr">
        <is>
          <t>150-5370-10H.pdf</t>
        </is>
      </c>
      <c r="C328" s="2" t="n">
        <v>561</v>
      </c>
      <c r="D328" s="2" t="n">
        <v>15</v>
      </c>
      <c r="E328" s="2" t="inlineStr">
        <is>
          <t>Galvanized steel fabric shall conform to the requirements of ASTM A392, Class 2.</t>
        </is>
      </c>
      <c r="F328" s="2" t="inlineStr">
        <is>
          <t>Nē</t>
        </is>
      </c>
      <c r="G328" s="2" t="n"/>
    </row>
    <row r="329">
      <c r="A329" s="2" t="inlineStr">
        <is>
          <t>150-5370-10H-P0561-016</t>
        </is>
      </c>
      <c r="B329" s="2" t="inlineStr">
        <is>
          <t>150-5370-10H.pdf</t>
        </is>
      </c>
      <c r="C329" s="2" t="n">
        <v>561</v>
      </c>
      <c r="D329" s="2" t="n">
        <v>16</v>
      </c>
      <c r="E329" s="2" t="inlineStr">
        <is>
          <t>Polyvinyl chloride-coated steel shall conform to the requirements of ASTM F668, Class 2b.</t>
        </is>
      </c>
      <c r="F329" s="2" t="inlineStr">
        <is>
          <t>Nē</t>
        </is>
      </c>
      <c r="G329" s="2" t="n"/>
    </row>
    <row r="330">
      <c r="A330" s="2" t="inlineStr">
        <is>
          <t>150-5370-10H-P0561-017</t>
        </is>
      </c>
      <c r="B330" s="2" t="inlineStr">
        <is>
          <t>150-5370-10H.pdf</t>
        </is>
      </c>
      <c r="C330" s="2" t="n">
        <v>561</v>
      </c>
      <c r="D330" s="2" t="n">
        <v>17</v>
      </c>
      <c r="E330" s="2" t="inlineStr">
        <is>
          <t>Aluminum alloy fabric shall conform to the requirements of ASTM F1183.</t>
        </is>
      </c>
      <c r="F330" s="2" t="inlineStr">
        <is>
          <t>Nē</t>
        </is>
      </c>
      <c r="G330" s="2" t="n"/>
    </row>
    <row r="331">
      <c r="A331" s="2" t="inlineStr">
        <is>
          <t>150-5370-10H-P0561-018</t>
        </is>
      </c>
      <c r="B331" s="2" t="inlineStr">
        <is>
          <t>150-5370-10H.pdf</t>
        </is>
      </c>
      <c r="C331" s="2" t="n">
        <v>561</v>
      </c>
      <c r="D331" s="2" t="n">
        <v>18</v>
      </c>
      <c r="E331" s="2" t="inlineStr">
        <is>
          <t>Zinc-5% aluminum mischmetal alloy coated steel shall conform to the requirements of ASTM F1345, Class 2.</t>
        </is>
      </c>
      <c r="F331" s="2" t="inlineStr">
        <is>
          <t>Nē</t>
        </is>
      </c>
      <c r="G331" s="2" t="n"/>
    </row>
    <row r="332">
      <c r="A332" s="2" t="inlineStr">
        <is>
          <t>150-5370-10H-P0561-019</t>
        </is>
      </c>
      <c r="B332" s="2" t="inlineStr">
        <is>
          <t>150-5370-10H.pdf</t>
        </is>
      </c>
      <c r="C332" s="2" t="n">
        <v>561</v>
      </c>
      <c r="D332" s="2" t="n">
        <v>19</v>
      </c>
      <c r="E332" s="2" t="inlineStr">
        <is>
          <t>The Engineer shall specify 9 or 10-gauge aluminum-coated wire.</t>
        </is>
      </c>
      <c r="F332" s="2" t="inlineStr">
        <is>
          <t>Nē</t>
        </is>
      </c>
      <c r="G332" s="2" t="n"/>
    </row>
    <row r="333">
      <c r="A333" s="2" t="inlineStr">
        <is>
          <t>150-5370-10H-P0561-020</t>
        </is>
      </c>
      <c r="B333" s="2" t="inlineStr">
        <is>
          <t>150-5370-10H.pdf</t>
        </is>
      </c>
      <c r="C333" s="2" t="n">
        <v>561</v>
      </c>
      <c r="D333" s="2" t="n">
        <v>20</v>
      </c>
      <c r="E333" s="2" t="inlineStr">
        <is>
          <t>Item F-162 Chain-Link Fence 553</t>
        </is>
      </c>
      <c r="F333" s="2" t="inlineStr">
        <is>
          <t>Nē</t>
        </is>
      </c>
      <c r="G333" s="2" t="n"/>
    </row>
    <row r="334">
      <c r="A334" s="2" t="inlineStr">
        <is>
          <t>150-5370-10H-P0570-001</t>
        </is>
      </c>
      <c r="B334" s="2" t="inlineStr">
        <is>
          <t>150-5370-10H.pdf</t>
        </is>
      </c>
      <c r="C334" s="2" t="n">
        <v>570</v>
      </c>
      <c r="D334" s="2" t="n">
        <v>1</v>
      </c>
      <c r="E334" s="2" t="inlineStr">
        <is>
          <t>12/21/2018 AC 150/5370-10H</t>
        </is>
      </c>
      <c r="F334" s="2" t="inlineStr">
        <is>
          <t>Nē</t>
        </is>
      </c>
      <c r="G334" s="2" t="n"/>
    </row>
    <row r="335">
      <c r="A335" s="2" t="inlineStr">
        <is>
          <t>150-5370-10H-P0570-002</t>
        </is>
      </c>
      <c r="B335" s="2" t="inlineStr">
        <is>
          <t>150-5370-10H.pdf</t>
        </is>
      </c>
      <c r="C335" s="2" t="n">
        <v>570</v>
      </c>
      <c r="D335" s="2" t="n">
        <v>2</v>
      </c>
      <c r="E335" s="2" t="inlineStr">
        <is>
          <t>163-2.6 Marking.</t>
        </is>
      </c>
      <c r="F335" s="2" t="inlineStr">
        <is>
          <t>Nē</t>
        </is>
      </c>
      <c r="G335" s="2" t="n"/>
    </row>
    <row r="336">
      <c r="A336" s="2" t="inlineStr">
        <is>
          <t>150-5370-10H-P0570-003</t>
        </is>
      </c>
      <c r="B336" s="2" t="inlineStr">
        <is>
          <t>150-5370-10H.pdf</t>
        </is>
      </c>
      <c r="C336" s="2" t="n">
        <v>570</v>
      </c>
      <c r="D336" s="2" t="n">
        <v>3</v>
      </c>
      <c r="E336" s="2" t="inlineStr">
        <is>
          <t>Each roll of fabric shall carry a tag showing the kind of base metal, kind of coating, the gauge of the wire, the length of fencing in the roll, and the name of the manufacturer.</t>
        </is>
      </c>
      <c r="F336" s="2" t="inlineStr">
        <is>
          <t>Nē</t>
        </is>
      </c>
      <c r="G336" s="2" t="n"/>
    </row>
    <row r="337">
      <c r="A337" s="2" t="inlineStr">
        <is>
          <t>150-5370-10H-P0570-004</t>
        </is>
      </c>
      <c r="B337" s="2" t="inlineStr">
        <is>
          <t>150-5370-10H.pdf</t>
        </is>
      </c>
      <c r="C337" s="2" t="n">
        <v>570</v>
      </c>
      <c r="D337" s="2" t="n">
        <v>4</v>
      </c>
      <c r="E337" s="2" t="inlineStr">
        <is>
          <t>Posts, wire, and other fittings shall be identified as to manufacturer, kind of base metal, and kind of coating.</t>
        </is>
      </c>
      <c r="F337" s="2" t="inlineStr">
        <is>
          <t>Nē</t>
        </is>
      </c>
      <c r="G337" s="2" t="n"/>
    </row>
    <row r="338">
      <c r="A338" s="2" t="inlineStr">
        <is>
          <t>150-5370-10H-P0570-005</t>
        </is>
      </c>
      <c r="B338" s="2" t="inlineStr">
        <is>
          <t>150-5370-10H.pdf</t>
        </is>
      </c>
      <c r="C338" s="2" t="n">
        <v>570</v>
      </c>
      <c r="D338" s="2" t="n">
        <v>5</v>
      </c>
      <c r="E338" s="2" t="inlineStr">
        <is>
          <t>163-2.7 Weed control material.</t>
        </is>
      </c>
      <c r="F338" s="2" t="inlineStr">
        <is>
          <t>Nē</t>
        </is>
      </c>
      <c r="G338" s="2" t="n"/>
    </row>
    <row r="339">
      <c r="A339" s="2" t="inlineStr">
        <is>
          <t>150-5370-10H-P0570-006</t>
        </is>
      </c>
      <c r="B339" s="2" t="inlineStr">
        <is>
          <t>150-5370-10H.pdf</t>
        </is>
      </c>
      <c r="C339" s="2" t="n">
        <v>570</v>
      </c>
      <c r="D339" s="2" t="n">
        <v>6</v>
      </c>
      <c r="E339" s="2" t="inlineStr">
        <is>
          <t>A commercially available weed control material shall be applied at the manufacturer’s recommended rate.</t>
        </is>
      </c>
      <c r="F339" s="2" t="inlineStr">
        <is>
          <t>Nē</t>
        </is>
      </c>
      <c r="G339" s="2" t="n"/>
    </row>
    <row r="340">
      <c r="A340" s="2" t="inlineStr">
        <is>
          <t>150-5370-10H-P0570-007</t>
        </is>
      </c>
      <c r="B340" s="2" t="inlineStr">
        <is>
          <t>150-5370-10H.pdf</t>
        </is>
      </c>
      <c r="C340" s="2" t="n">
        <v>570</v>
      </c>
      <c r="D340" s="2" t="n">
        <v>7</v>
      </c>
      <c r="E340" s="2" t="inlineStr">
        <is>
          <t>CONSTRUCTION METHODS</t>
        </is>
      </c>
      <c r="F340" s="2" t="inlineStr">
        <is>
          <t>Nē</t>
        </is>
      </c>
      <c r="G340" s="2" t="n"/>
    </row>
    <row r="341">
      <c r="A341" s="2" t="inlineStr">
        <is>
          <t>150-5370-10H-P0570-008</t>
        </is>
      </c>
      <c r="B341" s="2" t="inlineStr">
        <is>
          <t>150-5370-10H.pdf</t>
        </is>
      </c>
      <c r="C341" s="2" t="n">
        <v>570</v>
      </c>
      <c r="D341" s="2" t="n">
        <v>8</v>
      </c>
      <c r="E341" s="2" t="inlineStr">
        <is>
          <t>163-3.1 General.</t>
        </is>
      </c>
      <c r="F341" s="2" t="inlineStr">
        <is>
          <t>Nē</t>
        </is>
      </c>
      <c r="G341" s="2" t="n"/>
    </row>
    <row r="342">
      <c r="A342" s="2" t="inlineStr">
        <is>
          <t>150-5370-10H-P0570-009</t>
        </is>
      </c>
      <c r="B342" s="2" t="inlineStr">
        <is>
          <t>150-5370-10H.pdf</t>
        </is>
      </c>
      <c r="C342" s="2" t="n">
        <v>570</v>
      </c>
      <c r="D342" s="2" t="n">
        <v>9</v>
      </c>
      <c r="E342" s="2" t="inlineStr">
        <is>
          <t>The fence shall be constructed in accordance with the details on the plans and as specified here using new materials.</t>
        </is>
      </c>
      <c r="F342" s="2" t="inlineStr">
        <is>
          <t>Nē</t>
        </is>
      </c>
      <c r="G342" s="2" t="n"/>
    </row>
    <row r="343">
      <c r="A343" s="2" t="inlineStr">
        <is>
          <t>150-5370-10H-P0570-010</t>
        </is>
      </c>
      <c r="B343" s="2" t="inlineStr">
        <is>
          <t>150-5370-10H.pdf</t>
        </is>
      </c>
      <c r="C343" s="2" t="n">
        <v>570</v>
      </c>
      <c r="D343" s="2" t="n">
        <v>10</v>
      </c>
      <c r="E343" s="2" t="inlineStr">
        <is>
          <t>All work shall be performed in a workmanlike manner satisfactory to the RPR.</t>
        </is>
      </c>
      <c r="F343" s="2" t="inlineStr">
        <is>
          <t>Nē</t>
        </is>
      </c>
      <c r="G343" s="2" t="n"/>
    </row>
    <row r="344">
      <c r="A344" s="2" t="inlineStr">
        <is>
          <t>150-5370-10H-P0570-011</t>
        </is>
      </c>
      <c r="B344" s="2" t="inlineStr">
        <is>
          <t>150-5370-10H.pdf</t>
        </is>
      </c>
      <c r="C344" s="2" t="n">
        <v>570</v>
      </c>
      <c r="D344" s="2" t="n">
        <v>11</v>
      </c>
      <c r="E344" s="2" t="inlineStr">
        <is>
          <t>[ The RPR shall establish and mark the property line or fence line for the work. ] [ The Contractor shall layout the fence line based on the plans. ] The work shall progress in this manner and at the close of the working day the newly constructed fence shall be tied to the existing fence.</t>
        </is>
      </c>
      <c r="F344" s="2" t="inlineStr">
        <is>
          <t>Nē</t>
        </is>
      </c>
      <c r="G344" s="2" t="n"/>
    </row>
    <row r="345">
      <c r="A345" s="2" t="inlineStr">
        <is>
          <t>150-5370-10H-P0570-012</t>
        </is>
      </c>
      <c r="B345" s="2" t="inlineStr">
        <is>
          <t>150-5370-10H.pdf</t>
        </is>
      </c>
      <c r="C345" s="2" t="n">
        <v>570</v>
      </c>
      <c r="D345" s="2" t="n">
        <v>12</v>
      </c>
      <c r="E345" s="2" t="inlineStr">
        <is>
          <t>Select whether the RPR or Contractor will lay out the fence and/or property lines.</t>
        </is>
      </c>
      <c r="F345" s="2" t="inlineStr">
        <is>
          <t>Nē</t>
        </is>
      </c>
      <c r="G345" s="2" t="n"/>
    </row>
    <row r="346">
      <c r="A346" s="2" t="inlineStr">
        <is>
          <t>150-5370-10H-P0570-013</t>
        </is>
      </c>
      <c r="B346" s="2" t="inlineStr">
        <is>
          <t>150-5370-10H.pdf</t>
        </is>
      </c>
      <c r="C346" s="2" t="n">
        <v>570</v>
      </c>
      <c r="D346" s="2" t="n">
        <v>13</v>
      </c>
      <c r="E346" s="2" t="inlineStr">
        <is>
          <t>163-3.2 Clearing fence line.</t>
        </is>
      </c>
      <c r="F346" s="2" t="inlineStr">
        <is>
          <t>Nē</t>
        </is>
      </c>
      <c r="G346" s="2" t="n"/>
    </row>
    <row r="347">
      <c r="A347" s="2" t="inlineStr">
        <is>
          <t>150-5370-10H-P0570-014</t>
        </is>
      </c>
      <c r="B347" s="2" t="inlineStr">
        <is>
          <t>150-5370-10H.pdf</t>
        </is>
      </c>
      <c r="C347" s="2" t="n">
        <v>570</v>
      </c>
      <c r="D347" s="2" t="n">
        <v>14</v>
      </c>
      <c r="E347" s="2" t="inlineStr">
        <is>
          <t>All brush, stumps, logs, and other debris which would interfere with the construction of the fence shall be removed on either side of the fence centerline before starting fencing operations.</t>
        </is>
      </c>
      <c r="F347" s="2" t="inlineStr">
        <is>
          <t>Nē</t>
        </is>
      </c>
      <c r="G347" s="2" t="n"/>
    </row>
    <row r="348">
      <c r="A348" s="2" t="inlineStr">
        <is>
          <t>150-5370-10H-P0570-015</t>
        </is>
      </c>
      <c r="B348" s="2" t="inlineStr">
        <is>
          <t>150-5370-10H.pdf</t>
        </is>
      </c>
      <c r="C348" s="2" t="n">
        <v>570</v>
      </c>
      <c r="D348" s="2" t="n">
        <v>15</v>
      </c>
      <c r="E348" s="2" t="inlineStr">
        <is>
          <t>The material removed and disposed of shall not constitute a pay item and shall be considered incidental to fence construction.</t>
        </is>
      </c>
      <c r="F348" s="2" t="inlineStr">
        <is>
          <t>Nē</t>
        </is>
      </c>
      <c r="G348" s="2" t="n"/>
    </row>
    <row r="349">
      <c r="A349" s="2" t="inlineStr">
        <is>
          <t>150-5370-10H-P0570-016</t>
        </is>
      </c>
      <c r="B349" s="2" t="inlineStr">
        <is>
          <t>150-5370-10H.pdf</t>
        </is>
      </c>
      <c r="C349" s="2" t="n">
        <v>570</v>
      </c>
      <c r="D349" s="2" t="n">
        <v>16</v>
      </c>
      <c r="E349" s="2" t="inlineStr">
        <is>
          <t>163-3.3 Installing fabric.</t>
        </is>
      </c>
      <c r="F349" s="2" t="inlineStr">
        <is>
          <t>Nē</t>
        </is>
      </c>
      <c r="G349" s="2" t="n"/>
    </row>
    <row r="350">
      <c r="A350" s="2" t="inlineStr">
        <is>
          <t>150-5370-10H-P0570-017</t>
        </is>
      </c>
      <c r="B350" s="2" t="inlineStr">
        <is>
          <t>150-5370-10H.pdf</t>
        </is>
      </c>
      <c r="C350" s="2" t="n">
        <v>570</v>
      </c>
      <c r="D350" s="2" t="n">
        <v>17</v>
      </c>
      <c r="E350" s="2" t="inlineStr">
        <is>
          <t>Excavate ground to the depth required for proper installation of the fabric.</t>
        </is>
      </c>
      <c r="F350" s="2" t="inlineStr">
        <is>
          <t>Nē</t>
        </is>
      </c>
      <c r="G350" s="2" t="n"/>
    </row>
    <row r="351">
      <c r="A351" s="2" t="inlineStr">
        <is>
          <t>150-5370-10H-P0570-018</t>
        </is>
      </c>
      <c r="B351" s="2" t="inlineStr">
        <is>
          <t>150-5370-10H.pdf</t>
        </is>
      </c>
      <c r="C351" s="2" t="n">
        <v>570</v>
      </c>
      <c r="D351" s="2" t="n">
        <v>18</v>
      </c>
      <c r="E351" s="2" t="inlineStr">
        <is>
          <t>Obtain RPR’s approval of depth of excavation before placing the wire fabric.</t>
        </is>
      </c>
      <c r="F351" s="2" t="inlineStr">
        <is>
          <t>Nē</t>
        </is>
      </c>
      <c r="G351" s="2" t="n"/>
    </row>
    <row r="352">
      <c r="A352" s="2" t="inlineStr">
        <is>
          <t>150-5370-10H-P0570-019</t>
        </is>
      </c>
      <c r="B352" s="2" t="inlineStr">
        <is>
          <t>150-5370-10H.pdf</t>
        </is>
      </c>
      <c r="C352" s="2" t="n">
        <v>570</v>
      </c>
      <c r="D352" s="2" t="n">
        <v>19</v>
      </c>
      <c r="E352" s="2" t="inlineStr">
        <is>
          <t>Place the fabric and lap splice it to existing fence fabric and tie with wire ties at 2-foot (0.6-m) spacing.</t>
        </is>
      </c>
      <c r="F352" s="2" t="inlineStr">
        <is>
          <t>Nē</t>
        </is>
      </c>
      <c r="G352" s="2" t="n"/>
    </row>
    <row r="353">
      <c r="A353" s="2" t="inlineStr">
        <is>
          <t>150-5370-10H-P0570-020</t>
        </is>
      </c>
      <c r="B353" s="2" t="inlineStr">
        <is>
          <t>150-5370-10H.pdf</t>
        </is>
      </c>
      <c r="C353" s="2" t="n">
        <v>570</v>
      </c>
      <c r="D353" s="2" t="n">
        <v>20</v>
      </c>
      <c r="E353" s="2" t="inlineStr">
        <is>
          <t>Cut wire fabric around fence post footing to allow proper placement.</t>
        </is>
      </c>
      <c r="F353" s="2" t="inlineStr">
        <is>
          <t>Nē</t>
        </is>
      </c>
      <c r="G353" s="2" t="n"/>
    </row>
    <row r="354">
      <c r="A354" s="2" t="inlineStr">
        <is>
          <t>150-5370-10H-P0570-021</t>
        </is>
      </c>
      <c r="B354" s="2" t="inlineStr">
        <is>
          <t>150-5370-10H.pdf</t>
        </is>
      </c>
      <c r="C354" s="2" t="n">
        <v>570</v>
      </c>
      <c r="D354" s="2" t="n">
        <v>21</v>
      </c>
      <c r="E354" s="2" t="inlineStr">
        <is>
          <t>Backfill with native soil to original grade and compact.</t>
        </is>
      </c>
      <c r="F354" s="2" t="inlineStr">
        <is>
          <t>Nē</t>
        </is>
      </c>
      <c r="G354" s="2" t="n"/>
    </row>
    <row r="355">
      <c r="A355" s="2" t="inlineStr">
        <is>
          <t>150-5370-10H-P0570-022</t>
        </is>
      </c>
      <c r="B355" s="2" t="inlineStr">
        <is>
          <t>150-5370-10H.pdf</t>
        </is>
      </c>
      <c r="C355" s="2" t="n">
        <v>570</v>
      </c>
      <c r="D355" s="2" t="n">
        <v>22</v>
      </c>
      <c r="E355" s="2" t="inlineStr">
        <is>
          <t>Gate concrete pads shall be installed at each gate or as shown on the plans.</t>
        </is>
      </c>
      <c r="F355" s="2" t="inlineStr">
        <is>
          <t>Nē</t>
        </is>
      </c>
      <c r="G355" s="2" t="n"/>
    </row>
    <row r="356">
      <c r="A356" s="2" t="inlineStr">
        <is>
          <t>150-5370-10H-P0570-023</t>
        </is>
      </c>
      <c r="B356" s="2" t="inlineStr">
        <is>
          <t>150-5370-10H.pdf</t>
        </is>
      </c>
      <c r="C356" s="2" t="n">
        <v>570</v>
      </c>
      <c r="D356" s="2" t="n">
        <v>23</v>
      </c>
      <c r="E356" s="2" t="inlineStr">
        <is>
          <t>163-3.4 Weed control application.</t>
        </is>
      </c>
      <c r="F356" s="2" t="inlineStr">
        <is>
          <t>Nē</t>
        </is>
      </c>
      <c r="G356" s="2" t="n"/>
    </row>
    <row r="357">
      <c r="A357" s="2" t="inlineStr">
        <is>
          <t>150-5370-10H-P0570-024</t>
        </is>
      </c>
      <c r="B357" s="2" t="inlineStr">
        <is>
          <t>150-5370-10H.pdf</t>
        </is>
      </c>
      <c r="C357" s="2" t="n">
        <v>570</v>
      </c>
      <c r="D357" s="2" t="n">
        <v>24</v>
      </c>
      <c r="E357" s="2" t="inlineStr">
        <is>
          <t>Weed control material shall be applied over an area 5 feet (1.5 m) wide, measured from the fence centerline, and over the wildlife fence.</t>
        </is>
      </c>
      <c r="F357" s="2" t="inlineStr">
        <is>
          <t>Nē</t>
        </is>
      </c>
      <c r="G357" s="2" t="n"/>
    </row>
    <row r="358">
      <c r="A358" s="2" t="inlineStr">
        <is>
          <t>150-5370-10H-P0570-025</t>
        </is>
      </c>
      <c r="B358" s="2" t="inlineStr">
        <is>
          <t>150-5370-10H.pdf</t>
        </is>
      </c>
      <c r="C358" s="2" t="n">
        <v>570</v>
      </c>
      <c r="D358" s="2" t="n">
        <v>25</v>
      </c>
      <c r="E358" s="2" t="inlineStr">
        <is>
          <t>Apply weed control material as recommended by the manufacturer’s instructions and in compliance with state and local regulations.</t>
        </is>
      </c>
      <c r="F358" s="2" t="inlineStr">
        <is>
          <t>Nē</t>
        </is>
      </c>
      <c r="G358" s="2" t="n"/>
    </row>
    <row r="359">
      <c r="A359" s="2" t="inlineStr">
        <is>
          <t>150-5370-10H-P0570-026</t>
        </is>
      </c>
      <c r="B359" s="2" t="inlineStr">
        <is>
          <t>150-5370-10H.pdf</t>
        </is>
      </c>
      <c r="C359" s="2" t="n">
        <v>570</v>
      </c>
      <c r="D359" s="2" t="n">
        <v>26</v>
      </c>
      <c r="E359" s="2" t="inlineStr">
        <is>
          <t>163-3.5 Electrical grounds.</t>
        </is>
      </c>
      <c r="F359" s="2" t="inlineStr">
        <is>
          <t>Nē</t>
        </is>
      </c>
      <c r="G359" s="2" t="n"/>
    </row>
    <row r="360">
      <c r="A360" s="2" t="inlineStr">
        <is>
          <t>150-5370-10H-P0570-027</t>
        </is>
      </c>
      <c r="B360" s="2" t="inlineStr">
        <is>
          <t>150-5370-10H.pdf</t>
        </is>
      </c>
      <c r="C360" s="2" t="n">
        <v>570</v>
      </c>
      <c r="D360" s="2" t="n">
        <v>27</v>
      </c>
      <c r="E360" s="2" t="inlineStr">
        <is>
          <t>Electrical grounds shall be constructed [ where a power line passes over the fence ] [ at 500 feet (150 m) intervals ].</t>
        </is>
      </c>
      <c r="F360" s="2" t="inlineStr">
        <is>
          <t>Nē</t>
        </is>
      </c>
      <c r="G360" s="2" t="n"/>
    </row>
    <row r="361">
      <c r="A361" s="2" t="inlineStr">
        <is>
          <t>150-5370-10H-P0570-028</t>
        </is>
      </c>
      <c r="B361" s="2" t="inlineStr">
        <is>
          <t>150-5370-10H.pdf</t>
        </is>
      </c>
      <c r="C361" s="2" t="n">
        <v>570</v>
      </c>
      <c r="D361" s="2" t="n">
        <v>28</v>
      </c>
      <c r="E361" s="2" t="inlineStr">
        <is>
          <t>[ The ground shall be installed directly below the point of crossing ].</t>
        </is>
      </c>
      <c r="F361" s="2" t="inlineStr">
        <is>
          <t>Nē</t>
        </is>
      </c>
      <c r="G361" s="2" t="n"/>
    </row>
    <row r="362">
      <c r="A362" s="2" t="inlineStr">
        <is>
          <t>150-5370-10H-P0570-029</t>
        </is>
      </c>
      <c r="B362" s="2" t="inlineStr">
        <is>
          <t>150-5370-10H.pdf</t>
        </is>
      </c>
      <c r="C362" s="2" t="n">
        <v>570</v>
      </c>
      <c r="D362" s="2" t="n">
        <v>29</v>
      </c>
      <c r="E362" s="2" t="inlineStr">
        <is>
          <t>The ground shall be accomplished with a copper clad rod 8 feet (2.4 m) long and a minimum of 5/8 inches (16 mm) in diameter driven vertically until the top is 6 inches (150 mm) below the ground surface.</t>
        </is>
      </c>
      <c r="F362" s="2" t="inlineStr">
        <is>
          <t>Nē</t>
        </is>
      </c>
      <c r="G362" s="2" t="n"/>
    </row>
    <row r="363">
      <c r="A363" s="2" t="inlineStr">
        <is>
          <t>150-5370-10H-P0570-030</t>
        </is>
      </c>
      <c r="B363" s="2" t="inlineStr">
        <is>
          <t>150-5370-10H.pdf</t>
        </is>
      </c>
      <c r="C363" s="2" t="n">
        <v>570</v>
      </c>
      <c r="D363" s="2" t="n">
        <v>30</v>
      </c>
      <c r="E363" s="2" t="inlineStr">
        <is>
          <t>A No.</t>
        </is>
      </c>
      <c r="F363" s="2" t="inlineStr">
        <is>
          <t>Nē</t>
        </is>
      </c>
      <c r="G363" s="2" t="n"/>
    </row>
    <row r="364">
      <c r="A364" s="2" t="inlineStr">
        <is>
          <t>150-5370-10H-P0570-031</t>
        </is>
      </c>
      <c r="B364" s="2" t="inlineStr">
        <is>
          <t>150-5370-10H.pdf</t>
        </is>
      </c>
      <c r="C364" s="2" t="n">
        <v>570</v>
      </c>
      <c r="D364" s="2" t="n">
        <v>31</v>
      </c>
      <c r="E364" s="2" t="inlineStr">
        <is>
          <t>6 solid copper conductor shall be clamped to the rod and to the fence in such a manner that each element of the fence is grounded.</t>
        </is>
      </c>
      <c r="F364" s="2" t="inlineStr">
        <is>
          <t>Nē</t>
        </is>
      </c>
      <c r="G364" s="2" t="n"/>
    </row>
    <row r="365">
      <c r="A365" s="2" t="inlineStr">
        <is>
          <t>150-5370-10H-P0570-032</t>
        </is>
      </c>
      <c r="B365" s="2" t="inlineStr">
        <is>
          <t>150-5370-10H.pdf</t>
        </is>
      </c>
      <c r="C365" s="2" t="n">
        <v>570</v>
      </c>
      <c r="D365" s="2" t="n">
        <v>32</v>
      </c>
      <c r="E365" s="2" t="inlineStr">
        <is>
          <t>Installation of ground rods shall not constitute a pay item and shall be considered incidental to fence construction.</t>
        </is>
      </c>
      <c r="F365" s="2" t="inlineStr">
        <is>
          <t>Nē</t>
        </is>
      </c>
      <c r="G365" s="2" t="n"/>
    </row>
    <row r="366">
      <c r="A366" s="2" t="inlineStr">
        <is>
          <t>150-5370-10H-P0570-033</t>
        </is>
      </c>
      <c r="B366" s="2" t="inlineStr">
        <is>
          <t>150-5370-10H.pdf</t>
        </is>
      </c>
      <c r="C366" s="2" t="n">
        <v>570</v>
      </c>
      <c r="D366" s="2" t="n">
        <v>33</v>
      </c>
      <c r="E366" s="2" t="inlineStr">
        <is>
          <t>The Contractor shall comply with FAA-STD-019, Lightning and Surge Protection, Grounding, Bonding and Shielding Requirements for Facilities and Electronic Equipment, paragraph 4.2.3.8, Lightning Protection for Fences and Gates, when fencing is adjacent to FAA facilities.</t>
        </is>
      </c>
      <c r="F366" s="2" t="inlineStr">
        <is>
          <t>Nē</t>
        </is>
      </c>
      <c r="G366" s="2" t="n"/>
    </row>
    <row r="367">
      <c r="A367" s="2" t="inlineStr">
        <is>
          <t>150-5370-10H-P0570-034</t>
        </is>
      </c>
      <c r="B367" s="2" t="inlineStr">
        <is>
          <t>150-5370-10H.pdf</t>
        </is>
      </c>
      <c r="C367" s="2" t="n">
        <v>570</v>
      </c>
      <c r="D367" s="2" t="n">
        <v>34</v>
      </c>
      <c r="E367" s="2" t="inlineStr">
        <is>
          <t>The Engineer shall indicate the location of all electrical grounds on the plans.</t>
        </is>
      </c>
      <c r="F367" s="2" t="inlineStr">
        <is>
          <t>Nē</t>
        </is>
      </c>
      <c r="G367" s="2" t="n"/>
    </row>
    <row r="368">
      <c r="A368" s="2" t="inlineStr">
        <is>
          <t>150-5370-10H-P0570-035</t>
        </is>
      </c>
      <c r="B368" s="2" t="inlineStr">
        <is>
          <t>150-5370-10H.pdf</t>
        </is>
      </c>
      <c r="C368" s="2" t="n">
        <v>570</v>
      </c>
      <c r="D368" s="2" t="n">
        <v>35</v>
      </c>
      <c r="E368" s="2" t="inlineStr">
        <is>
          <t>Grounding may not be necessary with the use of composite posts.</t>
        </is>
      </c>
      <c r="F368" s="2" t="inlineStr">
        <is>
          <t>Nē</t>
        </is>
      </c>
      <c r="G368" s="2" t="n"/>
    </row>
    <row r="369">
      <c r="A369" s="2" t="inlineStr">
        <is>
          <t>150-5370-10H-P0570-036</t>
        </is>
      </c>
      <c r="B369" s="2" t="inlineStr">
        <is>
          <t>150-5370-10H.pdf</t>
        </is>
      </c>
      <c r="C369" s="2" t="n">
        <v>570</v>
      </c>
      <c r="D369" s="2" t="n">
        <v>36</v>
      </c>
      <c r="E369" s="2" t="inlineStr">
        <is>
          <t>Item F-163 Wildlife Deterrent Fence Skirt 562</t>
        </is>
      </c>
      <c r="F369" s="2" t="inlineStr">
        <is>
          <t>Nē</t>
        </is>
      </c>
      <c r="G369" s="2" t="n"/>
    </row>
    <row r="370">
      <c r="A370" s="2" t="inlineStr">
        <is>
          <t>150-5370-10H-P0587-001</t>
        </is>
      </c>
      <c r="B370" s="2" t="inlineStr">
        <is>
          <t>150-5370-10H.pdf</t>
        </is>
      </c>
      <c r="C370" s="2" t="n">
        <v>587</v>
      </c>
      <c r="D370" s="2" t="n">
        <v>1</v>
      </c>
      <c r="E370" s="2" t="inlineStr">
        <is>
          <t>12/21/2018 AC 150/5370-10H</t>
        </is>
      </c>
      <c r="F370" s="2" t="inlineStr">
        <is>
          <t>Nē</t>
        </is>
      </c>
      <c r="G370" s="2" t="n"/>
    </row>
    <row r="371">
      <c r="A371" s="2" t="inlineStr">
        <is>
          <t>150-5370-10H-P0587-002</t>
        </is>
      </c>
      <c r="B371" s="2" t="inlineStr">
        <is>
          <t>150-5370-10H.pdf</t>
        </is>
      </c>
      <c r="C371" s="2" t="n">
        <v>587</v>
      </c>
      <c r="D371" s="2" t="n">
        <v>2</v>
      </c>
      <c r="E371" s="2" t="inlineStr">
        <is>
          <t>701-2.9 Precast box culverts.</t>
        </is>
      </c>
      <c r="F371" s="2" t="inlineStr">
        <is>
          <t>Nē</t>
        </is>
      </c>
      <c r="G371" s="2" t="n"/>
    </row>
    <row r="372">
      <c r="A372" s="2" t="inlineStr">
        <is>
          <t>150-5370-10H-P0587-003</t>
        </is>
      </c>
      <c r="B372" s="2" t="inlineStr">
        <is>
          <t>150-5370-10H.pdf</t>
        </is>
      </c>
      <c r="C372" s="2" t="n">
        <v>587</v>
      </c>
      <c r="D372" s="2" t="n">
        <v>3</v>
      </c>
      <c r="E372" s="2" t="inlineStr">
        <is>
          <t>Manufactured in accordance with and conforming to ASTM C1433.</t>
        </is>
      </c>
      <c r="F372" s="2" t="inlineStr">
        <is>
          <t>Nē</t>
        </is>
      </c>
      <c r="G372" s="2" t="n"/>
    </row>
    <row r="373">
      <c r="A373" s="2" t="inlineStr">
        <is>
          <t>150-5370-10H-P0587-004</t>
        </is>
      </c>
      <c r="B373" s="2" t="inlineStr">
        <is>
          <t>150-5370-10H.pdf</t>
        </is>
      </c>
      <c r="C373" s="2" t="n">
        <v>587</v>
      </c>
      <c r="D373" s="2" t="n">
        <v>4</v>
      </c>
      <c r="E373" s="2" t="inlineStr">
        <is>
          <t>701-2.10 Precast concrete pipe.</t>
        </is>
      </c>
      <c r="F373" s="2" t="inlineStr">
        <is>
          <t>Nē</t>
        </is>
      </c>
      <c r="G373" s="2" t="n"/>
    </row>
    <row r="374">
      <c r="A374" s="2" t="inlineStr">
        <is>
          <t>150-5370-10H-P0587-005</t>
        </is>
      </c>
      <c r="B374" s="2" t="inlineStr">
        <is>
          <t>150-5370-10H.pdf</t>
        </is>
      </c>
      <c r="C374" s="2" t="n">
        <v>587</v>
      </c>
      <c r="D374" s="2" t="n">
        <v>5</v>
      </c>
      <c r="E374" s="2" t="inlineStr">
        <is>
          <t>Precast concrete structures shall be furnished by a plant meeting National Precast Concrete Association Plant Certification Program or American Concrete Pipe Association QCast Plant Certification program.</t>
        </is>
      </c>
      <c r="F374" s="2" t="inlineStr">
        <is>
          <t>?</t>
        </is>
      </c>
      <c r="G374" s="2" t="n"/>
    </row>
    <row r="375">
      <c r="A375" s="2" t="inlineStr">
        <is>
          <t>150-5370-10H-P0587-006</t>
        </is>
      </c>
      <c r="B375" s="2" t="inlineStr">
        <is>
          <t>150-5370-10H.pdf</t>
        </is>
      </c>
      <c r="C375" s="2" t="n">
        <v>587</v>
      </c>
      <c r="D375" s="2" t="n">
        <v>6</v>
      </c>
      <c r="E375" s="2" t="inlineStr">
        <is>
          <t>CONSTRUCTION METHODS</t>
        </is>
      </c>
      <c r="F375" s="2" t="inlineStr">
        <is>
          <t>Nē</t>
        </is>
      </c>
      <c r="G375" s="2" t="n"/>
    </row>
    <row r="376">
      <c r="A376" s="2" t="inlineStr">
        <is>
          <t>150-5370-10H-P0587-007</t>
        </is>
      </c>
      <c r="B376" s="2" t="inlineStr">
        <is>
          <t>150-5370-10H.pdf</t>
        </is>
      </c>
      <c r="C376" s="2" t="n">
        <v>587</v>
      </c>
      <c r="D376" s="2" t="n">
        <v>7</v>
      </c>
      <c r="E376" s="2" t="inlineStr">
        <is>
          <t>701-3.1 Excavation.</t>
        </is>
      </c>
      <c r="F376" s="2" t="inlineStr">
        <is>
          <t>Nē</t>
        </is>
      </c>
      <c r="G376" s="2" t="n"/>
    </row>
    <row r="377">
      <c r="A377" s="2" t="inlineStr">
        <is>
          <t>150-5370-10H-P0587-008</t>
        </is>
      </c>
      <c r="B377" s="2" t="inlineStr">
        <is>
          <t>150-5370-10H.pdf</t>
        </is>
      </c>
      <c r="C377" s="2" t="n">
        <v>587</v>
      </c>
      <c r="D377" s="2" t="n">
        <v>8</v>
      </c>
      <c r="E377" s="2" t="inlineStr">
        <is>
          <t>The width of the pipe trench shall be sufficient to permit satisfactory jointing of the pipe and thorough tamping of the bedding material under and around the pipe, but it shall not be less than the external diameter of the pipe plus 12 inches (300 mm) on each side.</t>
        </is>
      </c>
      <c r="F377" s="2" t="inlineStr">
        <is>
          <t>Nē</t>
        </is>
      </c>
      <c r="G377" s="2" t="n"/>
    </row>
    <row r="378">
      <c r="A378" s="2" t="inlineStr">
        <is>
          <t>150-5370-10H-P0587-009</t>
        </is>
      </c>
      <c r="B378" s="2" t="inlineStr">
        <is>
          <t>150-5370-10H.pdf</t>
        </is>
      </c>
      <c r="C378" s="2" t="n">
        <v>587</v>
      </c>
      <c r="D378" s="2" t="n">
        <v>9</v>
      </c>
      <c r="E378" s="2" t="inlineStr">
        <is>
          <t>The trench walls shall be approximately vertical.</t>
        </is>
      </c>
      <c r="F378" s="2" t="inlineStr">
        <is>
          <t>Nē</t>
        </is>
      </c>
      <c r="G378" s="2" t="n"/>
    </row>
    <row r="379">
      <c r="A379" s="2" t="inlineStr">
        <is>
          <t>150-5370-10H-P0587-010</t>
        </is>
      </c>
      <c r="B379" s="2" t="inlineStr">
        <is>
          <t>150-5370-10H.pdf</t>
        </is>
      </c>
      <c r="C379" s="2" t="n">
        <v>587</v>
      </c>
      <c r="D379" s="2" t="n">
        <v>10</v>
      </c>
      <c r="E379" s="2" t="inlineStr">
        <is>
          <t>The Contractor shall comply with all current federal, state and local rules and regulations governing the safety of men and materials during the excavation, installation and backfilling operations.</t>
        </is>
      </c>
      <c r="F379" s="2" t="inlineStr">
        <is>
          <t>Nē</t>
        </is>
      </c>
      <c r="G379" s="2" t="n"/>
    </row>
    <row r="380">
      <c r="A380" s="2" t="inlineStr">
        <is>
          <t>150-5370-10H-P0587-011</t>
        </is>
      </c>
      <c r="B380" s="2" t="inlineStr">
        <is>
          <t>150-5370-10H.pdf</t>
        </is>
      </c>
      <c r="C380" s="2" t="n">
        <v>587</v>
      </c>
      <c r="D380" s="2" t="n">
        <v>11</v>
      </c>
      <c r="E380" s="2" t="inlineStr">
        <is>
          <t>Specifically, the Contractor shall observe that all requirements of the Occupational Safety and Health Administration (OSHA) relating to excavations, trenching and shoring are strictly adhered to.</t>
        </is>
      </c>
      <c r="F380" s="2" t="inlineStr">
        <is>
          <t>Nē</t>
        </is>
      </c>
      <c r="G380" s="2" t="n"/>
    </row>
    <row r="381">
      <c r="A381" s="2" t="inlineStr">
        <is>
          <t>150-5370-10H-P0587-012</t>
        </is>
      </c>
      <c r="B381" s="2" t="inlineStr">
        <is>
          <t>150-5370-10H.pdf</t>
        </is>
      </c>
      <c r="C381" s="2" t="n">
        <v>587</v>
      </c>
      <c r="D381" s="2" t="n">
        <v>12</v>
      </c>
      <c r="E381" s="2" t="inlineStr">
        <is>
          <t>The width of the trench shall be sufficient to permit satisfactorily jointing of the pipe and thorough compaction of the bedding material under the pipe and backfill material around the pipe, but it shall not be greater than the widths shown on the plans trench detail.</t>
        </is>
      </c>
      <c r="F381" s="2" t="inlineStr">
        <is>
          <t>Nē</t>
        </is>
      </c>
      <c r="G381" s="2" t="n"/>
    </row>
    <row r="382">
      <c r="A382" s="2" t="inlineStr">
        <is>
          <t>150-5370-10H-P0587-013</t>
        </is>
      </c>
      <c r="B382" s="2" t="inlineStr">
        <is>
          <t>150-5370-10H.pdf</t>
        </is>
      </c>
      <c r="C382" s="2" t="n">
        <v>587</v>
      </c>
      <c r="D382" s="2" t="n">
        <v>13</v>
      </c>
      <c r="E382" s="2" t="inlineStr">
        <is>
          <t>Where rock, hardpan, or other unyielding material is encountered, the Contractor shall remove it from below the foundation grade for a depth of at least 8 inch (200 mm) or 1/2 inch (12 mm) for each foot of fill over the top of the pipe (whichever is greater) but for no more than three-quarters of the nominal diameter of the pipe.</t>
        </is>
      </c>
      <c r="F382" s="2" t="inlineStr">
        <is>
          <t>Nē</t>
        </is>
      </c>
      <c r="G382" s="2" t="n"/>
    </row>
    <row r="383">
      <c r="A383" s="2" t="inlineStr">
        <is>
          <t>150-5370-10H-P0587-014</t>
        </is>
      </c>
      <c r="B383" s="2" t="inlineStr">
        <is>
          <t>150-5370-10H.pdf</t>
        </is>
      </c>
      <c r="C383" s="2" t="n">
        <v>587</v>
      </c>
      <c r="D383" s="2" t="n">
        <v>14</v>
      </c>
      <c r="E383" s="2" t="inlineStr">
        <is>
          <t>The excavation below grade should be filled with granular material to form a uniform foundation.</t>
        </is>
      </c>
      <c r="F383" s="2" t="inlineStr">
        <is>
          <t>Nē</t>
        </is>
      </c>
      <c r="G383" s="2" t="n"/>
    </row>
    <row r="384">
      <c r="A384" s="2" t="inlineStr">
        <is>
          <t>150-5370-10H-P0587-015</t>
        </is>
      </c>
      <c r="B384" s="2" t="inlineStr">
        <is>
          <t>150-5370-10H.pdf</t>
        </is>
      </c>
      <c r="C384" s="2" t="n">
        <v>587</v>
      </c>
      <c r="D384" s="2" t="n">
        <v>15</v>
      </c>
      <c r="E384" s="2" t="inlineStr">
        <is>
          <t>Where a firm foundation is not encountered at the grade established, due to soft, spongy, or other unstable soil, the unstable soil shall be removed and replaced with approved granular material for the full trench width.</t>
        </is>
      </c>
      <c r="F384" s="2" t="inlineStr">
        <is>
          <t>Nē</t>
        </is>
      </c>
      <c r="G384" s="2" t="n"/>
    </row>
    <row r="385">
      <c r="A385" s="2" t="inlineStr">
        <is>
          <t>150-5370-10H-P0587-016</t>
        </is>
      </c>
      <c r="B385" s="2" t="inlineStr">
        <is>
          <t>150-5370-10H.pdf</t>
        </is>
      </c>
      <c r="C385" s="2" t="n">
        <v>587</v>
      </c>
      <c r="D385" s="2" t="n">
        <v>16</v>
      </c>
      <c r="E385" s="2" t="inlineStr">
        <is>
          <t>The RPR shall determine the depth of removal necessary.</t>
        </is>
      </c>
      <c r="F385" s="2" t="inlineStr">
        <is>
          <t>Nē</t>
        </is>
      </c>
      <c r="G385" s="2" t="n"/>
    </row>
    <row r="386">
      <c r="A386" s="2" t="inlineStr">
        <is>
          <t>150-5370-10H-P0587-017</t>
        </is>
      </c>
      <c r="B386" s="2" t="inlineStr">
        <is>
          <t>150-5370-10H.pdf</t>
        </is>
      </c>
      <c r="C386" s="2" t="n">
        <v>587</v>
      </c>
      <c r="D386" s="2" t="n">
        <v>17</v>
      </c>
      <c r="E386" s="2" t="inlineStr">
        <is>
          <t>The granular material shall be compacted to provide adequate support for the pipe.</t>
        </is>
      </c>
      <c r="F386" s="2" t="inlineStr">
        <is>
          <t>Nē</t>
        </is>
      </c>
      <c r="G386" s="2" t="n"/>
    </row>
    <row r="387">
      <c r="A387" s="2" t="inlineStr">
        <is>
          <t>150-5370-10H-P0587-018</t>
        </is>
      </c>
      <c r="B387" s="2" t="inlineStr">
        <is>
          <t>150-5370-10H.pdf</t>
        </is>
      </c>
      <c r="C387" s="2" t="n">
        <v>587</v>
      </c>
      <c r="D387" s="2" t="n">
        <v>18</v>
      </c>
      <c r="E387" s="2" t="inlineStr">
        <is>
          <t>The excavation for pipes placed in embankment fill shall not be made until the embankment has been completed to a height above the top of the pipe as shown on the plans.</t>
        </is>
      </c>
      <c r="F387" s="2" t="inlineStr">
        <is>
          <t>Nē</t>
        </is>
      </c>
      <c r="G387" s="2" t="n"/>
    </row>
    <row r="388">
      <c r="A388" s="2" t="inlineStr">
        <is>
          <t>150-5370-10H-P0587-019</t>
        </is>
      </c>
      <c r="B388" s="2" t="inlineStr">
        <is>
          <t>150-5370-10H.pdf</t>
        </is>
      </c>
      <c r="C388" s="2" t="n">
        <v>587</v>
      </c>
      <c r="D388" s="2" t="n">
        <v>19</v>
      </c>
      <c r="E388" s="2" t="inlineStr">
        <is>
          <t>701-3.2 Bedding.</t>
        </is>
      </c>
      <c r="F388" s="2" t="inlineStr">
        <is>
          <t>Nē</t>
        </is>
      </c>
      <c r="G388" s="2" t="n"/>
    </row>
    <row r="389">
      <c r="A389" s="2" t="inlineStr">
        <is>
          <t>150-5370-10H-P0587-020</t>
        </is>
      </c>
      <c r="B389" s="2" t="inlineStr">
        <is>
          <t>150-5370-10H.pdf</t>
        </is>
      </c>
      <c r="C389" s="2" t="n">
        <v>587</v>
      </c>
      <c r="D389" s="2" t="n">
        <v>20</v>
      </c>
      <c r="E389" s="2" t="inlineStr">
        <is>
          <t>The bedding surface for the pipe shall provide a foundation of uniform density to support the pipe throughout its entire length.</t>
        </is>
      </c>
      <c r="F389" s="2" t="inlineStr">
        <is>
          <t>Nē</t>
        </is>
      </c>
      <c r="G389" s="2" t="n"/>
    </row>
    <row r="390">
      <c r="A390" s="2" t="inlineStr">
        <is>
          <t>150-5370-10H-P0587-021</t>
        </is>
      </c>
      <c r="B390" s="2" t="inlineStr">
        <is>
          <t>150-5370-10H.pdf</t>
        </is>
      </c>
      <c r="C390" s="2" t="n">
        <v>587</v>
      </c>
      <c r="D390" s="2" t="n">
        <v>21</v>
      </c>
      <c r="E390" s="2" t="inlineStr">
        <is>
          <t>a. Rigid pipe.</t>
        </is>
      </c>
      <c r="F390" s="2" t="inlineStr">
        <is>
          <t>Nē</t>
        </is>
      </c>
      <c r="G390" s="2" t="n"/>
    </row>
    <row r="391">
      <c r="A391" s="2" t="inlineStr">
        <is>
          <t>150-5370-10H-P0587-022</t>
        </is>
      </c>
      <c r="B391" s="2" t="inlineStr">
        <is>
          <t>150-5370-10H.pdf</t>
        </is>
      </c>
      <c r="C391" s="2" t="n">
        <v>587</v>
      </c>
      <c r="D391" s="2" t="n">
        <v>22</v>
      </c>
      <c r="E391" s="2" t="inlineStr">
        <is>
          <t>The pipe bedding shall be constructed uniformly for the full length of the pipe barrel, as required on the plans.</t>
        </is>
      </c>
      <c r="F391" s="2" t="inlineStr">
        <is>
          <t>Nē</t>
        </is>
      </c>
      <c r="G391" s="2" t="n"/>
    </row>
    <row r="392">
      <c r="A392" s="2" t="inlineStr">
        <is>
          <t>150-5370-10H-P0587-023</t>
        </is>
      </c>
      <c r="B392" s="2" t="inlineStr">
        <is>
          <t>150-5370-10H.pdf</t>
        </is>
      </c>
      <c r="C392" s="2" t="n">
        <v>587</v>
      </c>
      <c r="D392" s="2" t="n">
        <v>23</v>
      </c>
      <c r="E392" s="2" t="inlineStr">
        <is>
          <t>The maximum aggregate size shall be 1 in when the bedding thickness is less than 6 inches, and 1-1/2 in when the bedding thickness is greater than 6 inches.</t>
        </is>
      </c>
      <c r="F392" s="2" t="inlineStr">
        <is>
          <t>Nē</t>
        </is>
      </c>
      <c r="G392" s="2" t="n"/>
    </row>
    <row r="393">
      <c r="A393" s="2" t="inlineStr">
        <is>
          <t>150-5370-10H-P0587-024</t>
        </is>
      </c>
      <c r="B393" s="2" t="inlineStr">
        <is>
          <t>150-5370-10H.pdf</t>
        </is>
      </c>
      <c r="C393" s="2" t="n">
        <v>587</v>
      </c>
      <c r="D393" s="2" t="n">
        <v>24</v>
      </c>
      <c r="E393" s="2" t="inlineStr">
        <is>
          <t>Bedding shall be loosely placed uncompacted material under the middle third of the pipe prior to placement of the pipe.</t>
        </is>
      </c>
      <c r="F393" s="2" t="inlineStr">
        <is>
          <t>Nē</t>
        </is>
      </c>
      <c r="G393" s="2" t="n"/>
    </row>
    <row r="394">
      <c r="A394" s="2" t="inlineStr">
        <is>
          <t>150-5370-10H-P0587-025</t>
        </is>
      </c>
      <c r="B394" s="2" t="inlineStr">
        <is>
          <t>150-5370-10H.pdf</t>
        </is>
      </c>
      <c r="C394" s="2" t="n">
        <v>587</v>
      </c>
      <c r="D394" s="2" t="n">
        <v>25</v>
      </c>
      <c r="E394" s="2" t="inlineStr">
        <is>
          <t>b. Flexible pipe.</t>
        </is>
      </c>
      <c r="F394" s="2" t="inlineStr">
        <is>
          <t>Nē</t>
        </is>
      </c>
      <c r="G394" s="2" t="n"/>
    </row>
    <row r="395">
      <c r="A395" s="2" t="inlineStr">
        <is>
          <t>150-5370-10H-P0587-026</t>
        </is>
      </c>
      <c r="B395" s="2" t="inlineStr">
        <is>
          <t>150-5370-10H.pdf</t>
        </is>
      </c>
      <c r="C395" s="2" t="n">
        <v>587</v>
      </c>
      <c r="D395" s="2" t="n">
        <v>26</v>
      </c>
      <c r="E395" s="2" t="inlineStr">
        <is>
          <t>For flexible pipe, the bed shall be roughly shaped to fit the pipe, and a bedding blanket of sand or fine granular material shall be provided as follows:</t>
        </is>
      </c>
      <c r="F395" s="2" t="inlineStr">
        <is>
          <t>Nē</t>
        </is>
      </c>
      <c r="G395" s="2" t="n"/>
    </row>
    <row r="396">
      <c r="A396" s="2" t="inlineStr">
        <is>
          <t>150-5370-10H-P0587-027</t>
        </is>
      </c>
      <c r="B396" s="2" t="inlineStr">
        <is>
          <t>150-5370-10H.pdf</t>
        </is>
      </c>
      <c r="C396" s="2" t="n">
        <v>587</v>
      </c>
      <c r="D396" s="2" t="n">
        <v>27</v>
      </c>
      <c r="E396" s="2" t="inlineStr">
        <is>
          <t>Item D-701 Pipe for Storm Drains and Culverts 579</t>
        </is>
      </c>
      <c r="F396" s="2" t="inlineStr">
        <is>
          <t>Nē</t>
        </is>
      </c>
      <c r="G396" s="2" t="n"/>
    </row>
    <row r="397">
      <c r="A397" s="2" t="inlineStr">
        <is>
          <t>150-5370-10H-P0601-001</t>
        </is>
      </c>
      <c r="B397" s="2" t="inlineStr">
        <is>
          <t>150-5370-10H.pdf</t>
        </is>
      </c>
      <c r="C397" s="2" t="n">
        <v>601</v>
      </c>
      <c r="D397" s="2" t="n">
        <v>1</v>
      </c>
      <c r="E397" s="2" t="inlineStr">
        <is>
          <t>12/21/2018 AC 150/5370-10H</t>
        </is>
      </c>
      <c r="F397" s="2" t="inlineStr">
        <is>
          <t>Nē</t>
        </is>
      </c>
      <c r="G397" s="2" t="n"/>
    </row>
    <row r="398">
      <c r="A398" s="2" t="inlineStr">
        <is>
          <t>150-5370-10H-P0601-002</t>
        </is>
      </c>
      <c r="B398" s="2" t="inlineStr">
        <is>
          <t>150-5370-10H.pdf</t>
        </is>
      </c>
      <c r="C398" s="2" t="n">
        <v>601</v>
      </c>
      <c r="D398" s="2" t="n">
        <v>2</v>
      </c>
      <c r="E398" s="2" t="inlineStr">
        <is>
          <t>Table 1.</t>
        </is>
      </c>
      <c r="F398" s="2" t="inlineStr">
        <is>
          <t>Nē</t>
        </is>
      </c>
      <c r="G398" s="2" t="n"/>
    </row>
    <row r="399">
      <c r="A399" s="2" t="inlineStr">
        <is>
          <t>150-5370-10H-P0601-003</t>
        </is>
      </c>
      <c r="B399" s="2" t="inlineStr">
        <is>
          <t>150-5370-10H.pdf</t>
        </is>
      </c>
      <c r="C399" s="2" t="n">
        <v>601</v>
      </c>
      <c r="D399" s="2" t="n">
        <v>3</v>
      </c>
      <c r="E399" s="2" t="inlineStr">
        <is>
          <t>Gradation of Porous Backfill</t>
        </is>
      </c>
      <c r="F399" s="2" t="inlineStr">
        <is>
          <t>Nē</t>
        </is>
      </c>
      <c r="G399" s="2" t="n"/>
    </row>
    <row r="400">
      <c r="A400" s="2" t="inlineStr">
        <is>
          <t>150-5370-10H-P0601-004</t>
        </is>
      </c>
      <c r="B400" s="2" t="inlineStr">
        <is>
          <t>150-5370-10H.pdf</t>
        </is>
      </c>
      <c r="C400" s="2" t="n">
        <v>601</v>
      </c>
      <c r="D400" s="2" t="n">
        <v>4</v>
      </c>
      <c r="E400" s="2" t="inlineStr">
        <is>
          <t>Percentage by Weight Passing Sieves Sieve Designation (square openings) Porous Material No. * 1-1/2 inch (37.5 mm) * 1 inch (25.0 mm) * 3/8 inch (9.5 mm) * No.</t>
        </is>
      </c>
      <c r="F400" s="2" t="inlineStr">
        <is>
          <t>Nē</t>
        </is>
      </c>
      <c r="G400" s="2" t="n"/>
    </row>
    <row r="401">
      <c r="A401" s="2" t="inlineStr">
        <is>
          <t>150-5370-10H-P0601-005</t>
        </is>
      </c>
      <c r="B401" s="2" t="inlineStr">
        <is>
          <t>150-5370-10H.pdf</t>
        </is>
      </c>
      <c r="C401" s="2" t="n">
        <v>601</v>
      </c>
      <c r="D401" s="2" t="n">
        <v>5</v>
      </c>
      <c r="E401" s="2" t="inlineStr">
        <is>
          <t>4 (4.75 mm) * No.</t>
        </is>
      </c>
      <c r="F401" s="2" t="inlineStr">
        <is>
          <t>Nē</t>
        </is>
      </c>
      <c r="G401" s="2" t="n"/>
    </row>
    <row r="402">
      <c r="A402" s="2" t="inlineStr">
        <is>
          <t>150-5370-10H-P0601-006</t>
        </is>
      </c>
      <c r="B402" s="2" t="inlineStr">
        <is>
          <t>150-5370-10H.pdf</t>
        </is>
      </c>
      <c r="C402" s="2" t="n">
        <v>601</v>
      </c>
      <c r="D402" s="2" t="n">
        <v>6</v>
      </c>
      <c r="E402" s="2" t="inlineStr">
        <is>
          <t>8 (2.36 mm) * No.</t>
        </is>
      </c>
      <c r="F402" s="2" t="inlineStr">
        <is>
          <t>Nē</t>
        </is>
      </c>
      <c r="G402" s="2" t="n"/>
    </row>
    <row r="403">
      <c r="A403" s="2" t="inlineStr">
        <is>
          <t>150-5370-10H-P0601-007</t>
        </is>
      </c>
      <c r="B403" s="2" t="inlineStr">
        <is>
          <t>150-5370-10H.pdf</t>
        </is>
      </c>
      <c r="C403" s="2" t="n">
        <v>601</v>
      </c>
      <c r="D403" s="2" t="n">
        <v>7</v>
      </c>
      <c r="E403" s="2" t="inlineStr">
        <is>
          <t>16 (1.18 mm) * No.</t>
        </is>
      </c>
      <c r="F403" s="2" t="inlineStr">
        <is>
          <t>Nē</t>
        </is>
      </c>
      <c r="G403" s="2" t="n"/>
    </row>
    <row r="404">
      <c r="A404" s="2" t="inlineStr">
        <is>
          <t>150-5370-10H-P0601-008</t>
        </is>
      </c>
      <c r="B404" s="2" t="inlineStr">
        <is>
          <t>150-5370-10H.pdf</t>
        </is>
      </c>
      <c r="C404" s="2" t="n">
        <v>601</v>
      </c>
      <c r="D404" s="2" t="n">
        <v>8</v>
      </c>
      <c r="E404" s="2" t="inlineStr">
        <is>
          <t>50 (300 µm) * No.</t>
        </is>
      </c>
      <c r="F404" s="2" t="inlineStr">
        <is>
          <t>Nē</t>
        </is>
      </c>
      <c r="G404" s="2" t="n"/>
    </row>
    <row r="405">
      <c r="A405" s="2" t="inlineStr">
        <is>
          <t>150-5370-10H-P0601-009</t>
        </is>
      </c>
      <c r="B405" s="2" t="inlineStr">
        <is>
          <t>150-5370-10H.pdf</t>
        </is>
      </c>
      <c r="C405" s="2" t="n">
        <v>601</v>
      </c>
      <c r="D405" s="2" t="n">
        <v>9</v>
      </c>
      <c r="E405" s="2" t="inlineStr">
        <is>
          <t>100 (150 µm) *</t>
        </is>
      </c>
      <c r="F405" s="2" t="inlineStr">
        <is>
          <t>Nē</t>
        </is>
      </c>
      <c r="G405" s="2" t="n"/>
    </row>
    <row r="406">
      <c r="A406" s="2" t="inlineStr">
        <is>
          <t>150-5370-10H-P0601-010</t>
        </is>
      </c>
      <c r="B406" s="2" t="inlineStr">
        <is>
          <t>150-5370-10H.pdf</t>
        </is>
      </c>
      <c r="C406" s="2" t="n">
        <v>601</v>
      </c>
      <c r="D406" s="2" t="n">
        <v>10</v>
      </c>
      <c r="E406" s="2" t="inlineStr">
        <is>
          <t>The Engineer shall select the gradation from the table below and insert in Table 1 above.</t>
        </is>
      </c>
      <c r="F406" s="2" t="inlineStr">
        <is>
          <t>Nē</t>
        </is>
      </c>
      <c r="G406" s="2" t="n"/>
    </row>
    <row r="407">
      <c r="A407" s="2" t="inlineStr">
        <is>
          <t>150-5370-10H-P0601-011</t>
        </is>
      </c>
      <c r="B407" s="2" t="inlineStr">
        <is>
          <t>150-5370-10H.pdf</t>
        </is>
      </c>
      <c r="C407" s="2" t="n">
        <v>601</v>
      </c>
      <c r="D407" s="2" t="n">
        <v>11</v>
      </c>
      <c r="E407" s="2" t="inlineStr">
        <is>
          <t>Percentage by Weight Passing Sieves Sieve Designation (square openings) Porous Material No.</t>
        </is>
      </c>
      <c r="F407" s="2" t="inlineStr">
        <is>
          <t>Nē</t>
        </is>
      </c>
      <c r="G407" s="2" t="n"/>
    </row>
    <row r="408">
      <c r="A408" s="2" t="inlineStr">
        <is>
          <t>150-5370-10H-P0601-012</t>
        </is>
      </c>
      <c r="B408" s="2" t="inlineStr">
        <is>
          <t>150-5370-10H.pdf</t>
        </is>
      </c>
      <c r="C408" s="2" t="n">
        <v>601</v>
      </c>
      <c r="D408" s="2" t="n">
        <v>12</v>
      </c>
      <c r="E408" s="2" t="inlineStr">
        <is>
          <t>1 Porous Material No. 2</t>
        </is>
      </c>
      <c r="F408" s="2" t="inlineStr">
        <is>
          <t>Nē</t>
        </is>
      </c>
      <c r="G408" s="2" t="n"/>
    </row>
    <row r="409">
      <c r="A409" s="2" t="inlineStr">
        <is>
          <t>150-5370-10H-P0601-013</t>
        </is>
      </c>
      <c r="B409" s="2" t="inlineStr">
        <is>
          <t>150-5370-10H.pdf</t>
        </is>
      </c>
      <c r="C409" s="2" t="n">
        <v>601</v>
      </c>
      <c r="D409" s="2" t="n">
        <v>13</v>
      </c>
      <c r="E409" s="2" t="inlineStr">
        <is>
          <t>1-1/2 inch (37.5 mm) 100 1 inch (25.0 mm) 90 - 100 3/8 inch (9.5 mm) 100 25 - 60 No.</t>
        </is>
      </c>
      <c r="F409" s="2" t="inlineStr">
        <is>
          <t>Nē</t>
        </is>
      </c>
      <c r="G409" s="2" t="n"/>
    </row>
    <row r="410">
      <c r="A410" s="2" t="inlineStr">
        <is>
          <t>150-5370-10H-P0601-014</t>
        </is>
      </c>
      <c r="B410" s="2" t="inlineStr">
        <is>
          <t>150-5370-10H.pdf</t>
        </is>
      </c>
      <c r="C410" s="2" t="n">
        <v>601</v>
      </c>
      <c r="D410" s="2" t="n">
        <v>14</v>
      </c>
      <c r="E410" s="2" t="inlineStr">
        <is>
          <t>4 (4.75 mm) 95 – 100 5 - 40 No.</t>
        </is>
      </c>
      <c r="F410" s="2" t="inlineStr">
        <is>
          <t>Nē</t>
        </is>
      </c>
      <c r="G410" s="2" t="n"/>
    </row>
    <row r="411">
      <c r="A411" s="2" t="inlineStr">
        <is>
          <t>150-5370-10H-P0601-015</t>
        </is>
      </c>
      <c r="B411" s="2" t="inlineStr">
        <is>
          <t>150-5370-10H.pdf</t>
        </is>
      </c>
      <c r="C411" s="2" t="n">
        <v>601</v>
      </c>
      <c r="D411" s="2" t="n">
        <v>15</v>
      </c>
      <c r="E411" s="2" t="inlineStr">
        <is>
          <t>8 (2.36 mm) 0 - 20 No.</t>
        </is>
      </c>
      <c r="F411" s="2" t="inlineStr">
        <is>
          <t>Nē</t>
        </is>
      </c>
      <c r="G411" s="2" t="n"/>
    </row>
    <row r="412">
      <c r="A412" s="2" t="inlineStr">
        <is>
          <t>150-5370-10H-P0601-016</t>
        </is>
      </c>
      <c r="B412" s="2" t="inlineStr">
        <is>
          <t>150-5370-10H.pdf</t>
        </is>
      </c>
      <c r="C412" s="2" t="n">
        <v>601</v>
      </c>
      <c r="D412" s="2" t="n">
        <v>16</v>
      </c>
      <c r="E412" s="2" t="inlineStr">
        <is>
          <t>16 (1.18 mm) 45 – 80 No.</t>
        </is>
      </c>
      <c r="F412" s="2" t="inlineStr">
        <is>
          <t>Nē</t>
        </is>
      </c>
      <c r="G412" s="2" t="n"/>
    </row>
    <row r="413">
      <c r="A413" s="2" t="inlineStr">
        <is>
          <t>150-5370-10H-P0601-017</t>
        </is>
      </c>
      <c r="B413" s="2" t="inlineStr">
        <is>
          <t>150-5370-10H.pdf</t>
        </is>
      </c>
      <c r="C413" s="2" t="n">
        <v>601</v>
      </c>
      <c r="D413" s="2" t="n">
        <v>17</v>
      </c>
      <c r="E413" s="2" t="inlineStr">
        <is>
          <t>50 (300 µm) 10 – 30 No.</t>
        </is>
      </c>
      <c r="F413" s="2" t="inlineStr">
        <is>
          <t>Nē</t>
        </is>
      </c>
      <c r="G413" s="2" t="n"/>
    </row>
    <row r="414">
      <c r="A414" s="2" t="inlineStr">
        <is>
          <t>150-5370-10H-P0601-018</t>
        </is>
      </c>
      <c r="B414" s="2" t="inlineStr">
        <is>
          <t>150-5370-10H.pdf</t>
        </is>
      </c>
      <c r="C414" s="2" t="n">
        <v>601</v>
      </c>
      <c r="D414" s="2" t="n">
        <v>18</v>
      </c>
      <c r="E414" s="2" t="inlineStr">
        <is>
          <t>100 (150 µm) 0 – 10</t>
        </is>
      </c>
      <c r="F414" s="2" t="inlineStr">
        <is>
          <t>Nē</t>
        </is>
      </c>
      <c r="G414" s="2" t="n"/>
    </row>
    <row r="415">
      <c r="A415" s="2" t="inlineStr">
        <is>
          <t>150-5370-10H-P0601-019</t>
        </is>
      </c>
      <c r="B415" s="2" t="inlineStr">
        <is>
          <t>150-5370-10H.pdf</t>
        </is>
      </c>
      <c r="C415" s="2" t="n">
        <v>601</v>
      </c>
      <c r="D415" s="2" t="n">
        <v>19</v>
      </c>
      <c r="E415" s="2" t="inlineStr">
        <is>
          <t>When two courses of porous backfill are specified in the plans, the finer of the materials shall conform to particle size tabulated herein for porous material No.</t>
        </is>
      </c>
      <c r="F415" s="2" t="inlineStr">
        <is>
          <t>Nē</t>
        </is>
      </c>
      <c r="G415" s="2" t="n"/>
    </row>
    <row r="416">
      <c r="A416" s="2" t="inlineStr">
        <is>
          <t>150-5370-10H-P0601-020</t>
        </is>
      </c>
      <c r="B416" s="2" t="inlineStr">
        <is>
          <t>150-5370-10H.pdf</t>
        </is>
      </c>
      <c r="C416" s="2" t="n">
        <v>601</v>
      </c>
      <c r="D416" s="2" t="n">
        <v>20</v>
      </c>
      <c r="E416" s="2" t="inlineStr">
        <is>
          <t>1. The coarser granular material shall meet the gradation given in the tabulation for porous material No. 2.</t>
        </is>
      </c>
      <c r="F416" s="2" t="inlineStr">
        <is>
          <t>Nē</t>
        </is>
      </c>
      <c r="G416" s="2" t="n"/>
    </row>
    <row r="417">
      <c r="A417" s="2" t="inlineStr">
        <is>
          <t>150-5370-10H-P0601-021</t>
        </is>
      </c>
      <c r="B417" s="2" t="inlineStr">
        <is>
          <t>150-5370-10H.pdf</t>
        </is>
      </c>
      <c r="C417" s="2" t="n">
        <v>601</v>
      </c>
      <c r="D417" s="2" t="n">
        <v>21</v>
      </c>
      <c r="E417" s="2" t="inlineStr">
        <is>
          <t>705-2.6 Granular material.</t>
        </is>
      </c>
      <c r="F417" s="2" t="inlineStr">
        <is>
          <t>Nē</t>
        </is>
      </c>
      <c r="G417" s="2" t="n"/>
    </row>
    <row r="418">
      <c r="A418" s="2" t="inlineStr">
        <is>
          <t>150-5370-10H-P0601-022</t>
        </is>
      </c>
      <c r="B418" s="2" t="inlineStr">
        <is>
          <t>150-5370-10H.pdf</t>
        </is>
      </c>
      <c r="C418" s="2" t="n">
        <v>601</v>
      </c>
      <c r="D418" s="2" t="n">
        <v>22</v>
      </c>
      <c r="E418" s="2" t="inlineStr">
        <is>
          <t>Granular material used for backfilling shall conform to the requirements of ASTM D2321 for Class IA, IB, or II materials.</t>
        </is>
      </c>
      <c r="F418" s="2" t="inlineStr">
        <is>
          <t>Nē</t>
        </is>
      </c>
      <c r="G418" s="2" t="n"/>
    </row>
    <row r="419">
      <c r="A419" s="2" t="inlineStr">
        <is>
          <t>150-5370-10H-P0601-023</t>
        </is>
      </c>
      <c r="B419" s="2" t="inlineStr">
        <is>
          <t>150-5370-10H.pdf</t>
        </is>
      </c>
      <c r="C419" s="2" t="n">
        <v>601</v>
      </c>
      <c r="D419" s="2" t="n">
        <v>23</v>
      </c>
      <c r="E419" s="2" t="inlineStr">
        <is>
          <t>705-2.7 Filter fabric.</t>
        </is>
      </c>
      <c r="F419" s="2" t="inlineStr">
        <is>
          <t>Nē</t>
        </is>
      </c>
      <c r="G419" s="2" t="n"/>
    </row>
    <row r="420">
      <c r="A420" s="2" t="inlineStr">
        <is>
          <t>150-5370-10H-P0601-024</t>
        </is>
      </c>
      <c r="B420" s="2" t="inlineStr">
        <is>
          <t>150-5370-10H.pdf</t>
        </is>
      </c>
      <c r="C420" s="2" t="n">
        <v>601</v>
      </c>
      <c r="D420" s="2" t="n">
        <v>24</v>
      </c>
      <c r="E420" s="2" t="inlineStr">
        <is>
          <t>The filter fabric shall conform to the requirements of AASHTO M288 Class 2 or equivalent.</t>
        </is>
      </c>
      <c r="F420" s="2" t="inlineStr">
        <is>
          <t>Nē</t>
        </is>
      </c>
      <c r="G420" s="2" t="n"/>
    </row>
    <row r="421">
      <c r="A421" s="2" t="inlineStr">
        <is>
          <t>150-5370-10H-P0601-025</t>
        </is>
      </c>
      <c r="B421" s="2" t="inlineStr">
        <is>
          <t>150-5370-10H.pdf</t>
        </is>
      </c>
      <c r="C421" s="2" t="n">
        <v>601</v>
      </c>
      <c r="D421" s="2" t="n">
        <v>25</v>
      </c>
      <c r="E421" s="2" t="inlineStr">
        <is>
          <t>Item D-705 Pipe Underdrains for Airports 593</t>
        </is>
      </c>
      <c r="F421" s="2" t="inlineStr">
        <is>
          <t>Nē</t>
        </is>
      </c>
      <c r="G421" s="2" t="n"/>
    </row>
    <row r="422">
      <c r="A422" s="2" t="inlineStr">
        <is>
          <t>150-5370-10H-P0616-001</t>
        </is>
      </c>
      <c r="B422" s="2" t="inlineStr">
        <is>
          <t>150-5370-10H.pdf</t>
        </is>
      </c>
      <c r="C422" s="2" t="n">
        <v>616</v>
      </c>
      <c r="D422" s="2" t="n">
        <v>1</v>
      </c>
      <c r="E422" s="2" t="inlineStr">
        <is>
          <t>12/21/2018 AC 150/5370-10H</t>
        </is>
      </c>
      <c r="F422" s="2" t="inlineStr">
        <is>
          <t>Nē</t>
        </is>
      </c>
      <c r="G422" s="2" t="n"/>
    </row>
    <row r="423">
      <c r="A423" s="2" t="inlineStr">
        <is>
          <t>150-5370-10H-P0616-002</t>
        </is>
      </c>
      <c r="B423" s="2" t="inlineStr">
        <is>
          <t>150-5370-10H.pdf</t>
        </is>
      </c>
      <c r="C423" s="2" t="n">
        <v>616</v>
      </c>
      <c r="D423" s="2" t="n">
        <v>2</v>
      </c>
      <c r="E423" s="2" t="inlineStr">
        <is>
          <t>b. No backfilling shall be placed against any structure until approved by the RPR.</t>
        </is>
      </c>
      <c r="F423" s="2" t="inlineStr">
        <is>
          <t>Nē</t>
        </is>
      </c>
      <c r="G423" s="2" t="n"/>
    </row>
    <row r="424">
      <c r="A424" s="2" t="inlineStr">
        <is>
          <t>150-5370-10H-P0616-003</t>
        </is>
      </c>
      <c r="B424" s="2" t="inlineStr">
        <is>
          <t>150-5370-10H.pdf</t>
        </is>
      </c>
      <c r="C424" s="2" t="n">
        <v>616</v>
      </c>
      <c r="D424" s="2" t="n">
        <v>3</v>
      </c>
      <c r="E424" s="2" t="inlineStr">
        <is>
          <t>For concrete, approval shall not be given until the concrete has been in place seven (7) days, or until tests establish that the concrete has attained sufficient strength to withstand any pressure created by the backfill or the placement methods.</t>
        </is>
      </c>
      <c r="F424" s="2" t="inlineStr">
        <is>
          <t>Nē</t>
        </is>
      </c>
      <c r="G424" s="2" t="n"/>
    </row>
    <row r="425">
      <c r="A425" s="2" t="inlineStr">
        <is>
          <t>150-5370-10H-P0616-004</t>
        </is>
      </c>
      <c r="B425" s="2" t="inlineStr">
        <is>
          <t>150-5370-10H.pdf</t>
        </is>
      </c>
      <c r="C425" s="2" t="n">
        <v>616</v>
      </c>
      <c r="D425" s="2" t="n">
        <v>4</v>
      </c>
      <c r="E425" s="2" t="inlineStr">
        <is>
          <t>c. Fill placed around concrete culverts shall be deposited on each side at the same time and to approximately the same elevation.</t>
        </is>
      </c>
      <c r="F425" s="2" t="inlineStr">
        <is>
          <t>Nē</t>
        </is>
      </c>
      <c r="G425" s="2" t="n"/>
    </row>
    <row r="426">
      <c r="A426" s="2" t="inlineStr">
        <is>
          <t>150-5370-10H-P0616-005</t>
        </is>
      </c>
      <c r="B426" s="2" t="inlineStr">
        <is>
          <t>150-5370-10H.pdf</t>
        </is>
      </c>
      <c r="C426" s="2" t="n">
        <v>616</v>
      </c>
      <c r="D426" s="2" t="n">
        <v>5</v>
      </c>
      <c r="E426" s="2" t="inlineStr">
        <is>
          <t>All slopes bounding or within the areas to be backfilled shall be stepped or serrated to prevent wedge action against the structure.</t>
        </is>
      </c>
      <c r="F426" s="2" t="inlineStr">
        <is>
          <t>Nē</t>
        </is>
      </c>
      <c r="G426" s="2" t="n"/>
    </row>
    <row r="427">
      <c r="A427" s="2" t="inlineStr">
        <is>
          <t>150-5370-10H-P0616-006</t>
        </is>
      </c>
      <c r="B427" s="2" t="inlineStr">
        <is>
          <t>150-5370-10H.pdf</t>
        </is>
      </c>
      <c r="C427" s="2" t="n">
        <v>616</v>
      </c>
      <c r="D427" s="2" t="n">
        <v>6</v>
      </c>
      <c r="E427" s="2" t="inlineStr">
        <is>
          <t>d. Backfill will not be measured for direct payment.</t>
        </is>
      </c>
      <c r="F427" s="2" t="inlineStr">
        <is>
          <t>Nē</t>
        </is>
      </c>
      <c r="G427" s="2" t="n"/>
    </row>
    <row r="428">
      <c r="A428" s="2" t="inlineStr">
        <is>
          <t>150-5370-10H-P0616-007</t>
        </is>
      </c>
      <c r="B428" s="2" t="inlineStr">
        <is>
          <t>150-5370-10H.pdf</t>
        </is>
      </c>
      <c r="C428" s="2" t="n">
        <v>616</v>
      </c>
      <c r="D428" s="2" t="n">
        <v>7</v>
      </c>
      <c r="E428" s="2" t="inlineStr">
        <is>
          <t>Performance of this work shall be considered as a subsidiary obligation of the Contractor, covered under the contract unit price for “unclassified excavation for structures.”</t>
        </is>
      </c>
      <c r="F428" s="2" t="inlineStr">
        <is>
          <t>Nē</t>
        </is>
      </c>
      <c r="G428" s="2" t="n"/>
    </row>
    <row r="429">
      <c r="A429" s="2" t="inlineStr">
        <is>
          <t>150-5370-10H-P0616-008</t>
        </is>
      </c>
      <c r="B429" s="2" t="inlineStr">
        <is>
          <t>150-5370-10H.pdf</t>
        </is>
      </c>
      <c r="C429" s="2" t="n">
        <v>616</v>
      </c>
      <c r="D429" s="2" t="n">
        <v>8</v>
      </c>
      <c r="E429" s="2" t="inlineStr">
        <is>
          <t>752-3.3 Weep holes.</t>
        </is>
      </c>
      <c r="F429" s="2" t="inlineStr">
        <is>
          <t>Nē</t>
        </is>
      </c>
      <c r="G429" s="2" t="n"/>
    </row>
    <row r="430">
      <c r="A430" s="2" t="inlineStr">
        <is>
          <t>150-5370-10H-P0616-009</t>
        </is>
      </c>
      <c r="B430" s="2" t="inlineStr">
        <is>
          <t>150-5370-10H.pdf</t>
        </is>
      </c>
      <c r="C430" s="2" t="n">
        <v>616</v>
      </c>
      <c r="D430" s="2" t="n">
        <v>9</v>
      </c>
      <c r="E430" s="2" t="inlineStr">
        <is>
          <t>Weep holes shall be constructed as shown on the plans.</t>
        </is>
      </c>
      <c r="F430" s="2" t="inlineStr">
        <is>
          <t>Nē</t>
        </is>
      </c>
      <c r="G430" s="2" t="n"/>
    </row>
    <row r="431">
      <c r="A431" s="2" t="inlineStr">
        <is>
          <t>150-5370-10H-P0616-010</t>
        </is>
      </c>
      <c r="B431" s="2" t="inlineStr">
        <is>
          <t>150-5370-10H.pdf</t>
        </is>
      </c>
      <c r="C431" s="2" t="n">
        <v>616</v>
      </c>
      <c r="D431" s="2" t="n">
        <v>10</v>
      </c>
      <c r="E431" s="2" t="inlineStr">
        <is>
          <t>752-3.4 Cleaning and restoration of site.</t>
        </is>
      </c>
      <c r="F431" s="2" t="inlineStr">
        <is>
          <t>Nē</t>
        </is>
      </c>
      <c r="G431" s="2" t="n"/>
    </row>
    <row r="432">
      <c r="A432" s="2" t="inlineStr">
        <is>
          <t>150-5370-10H-P0616-011</t>
        </is>
      </c>
      <c r="B432" s="2" t="inlineStr">
        <is>
          <t>150-5370-10H.pdf</t>
        </is>
      </c>
      <c r="C432" s="2" t="n">
        <v>616</v>
      </c>
      <c r="D432" s="2" t="n">
        <v>11</v>
      </c>
      <c r="E432" s="2" t="inlineStr">
        <is>
          <t>After the backfill is completed, the Contractor shall dispose of all surplus material, dirt, and rubbish from the site.</t>
        </is>
      </c>
      <c r="F432" s="2" t="inlineStr">
        <is>
          <t>Nē</t>
        </is>
      </c>
      <c r="G432" s="2" t="n"/>
    </row>
    <row r="433">
      <c r="A433" s="2" t="inlineStr">
        <is>
          <t>150-5370-10H-P0616-012</t>
        </is>
      </c>
      <c r="B433" s="2" t="inlineStr">
        <is>
          <t>150-5370-10H.pdf</t>
        </is>
      </c>
      <c r="C433" s="2" t="n">
        <v>616</v>
      </c>
      <c r="D433" s="2" t="n">
        <v>12</v>
      </c>
      <c r="E433" s="2" t="inlineStr">
        <is>
          <t>Surplus dirt may be deposited in embankment, shoulders, or as approved by the RPR.</t>
        </is>
      </c>
      <c r="F433" s="2" t="inlineStr">
        <is>
          <t>Nē</t>
        </is>
      </c>
      <c r="G433" s="2" t="n"/>
    </row>
    <row r="434">
      <c r="A434" s="2" t="inlineStr">
        <is>
          <t>150-5370-10H-P0616-013</t>
        </is>
      </c>
      <c r="B434" s="2" t="inlineStr">
        <is>
          <t>150-5370-10H.pdf</t>
        </is>
      </c>
      <c r="C434" s="2" t="n">
        <v>616</v>
      </c>
      <c r="D434" s="2" t="n">
        <v>13</v>
      </c>
      <c r="E434" s="2" t="inlineStr">
        <is>
          <t>The Contractor shall restore all disturbed areas to their original condition.</t>
        </is>
      </c>
      <c r="F434" s="2" t="inlineStr">
        <is>
          <t>Nē</t>
        </is>
      </c>
      <c r="G434" s="2" t="n"/>
    </row>
    <row r="435">
      <c r="A435" s="2" t="inlineStr">
        <is>
          <t>150-5370-10H-P0616-014</t>
        </is>
      </c>
      <c r="B435" s="2" t="inlineStr">
        <is>
          <t>150-5370-10H.pdf</t>
        </is>
      </c>
      <c r="C435" s="2" t="n">
        <v>616</v>
      </c>
      <c r="D435" s="2" t="n">
        <v>14</v>
      </c>
      <c r="E435" s="2" t="inlineStr">
        <is>
          <t>The Contractor shall remove all tools and equipment, leaving the entire site free, clear, and in good condition.</t>
        </is>
      </c>
      <c r="F435" s="2" t="inlineStr">
        <is>
          <t>Nē</t>
        </is>
      </c>
      <c r="G435" s="2" t="n"/>
    </row>
    <row r="436">
      <c r="A436" s="2" t="inlineStr">
        <is>
          <t>150-5370-10H-P0616-015</t>
        </is>
      </c>
      <c r="B436" s="2" t="inlineStr">
        <is>
          <t>150-5370-10H.pdf</t>
        </is>
      </c>
      <c r="C436" s="2" t="n">
        <v>616</v>
      </c>
      <c r="D436" s="2" t="n">
        <v>15</v>
      </c>
      <c r="E436" s="2" t="inlineStr">
        <is>
          <t>METHOD OF MEASUREMENT</t>
        </is>
      </c>
      <c r="F436" s="2" t="inlineStr">
        <is>
          <t>Nē</t>
        </is>
      </c>
      <c r="G436" s="2" t="n"/>
    </row>
    <row r="437">
      <c r="A437" s="2" t="inlineStr">
        <is>
          <t>150-5370-10H-P0616-016</t>
        </is>
      </c>
      <c r="B437" s="2" t="inlineStr">
        <is>
          <t>150-5370-10H.pdf</t>
        </is>
      </c>
      <c r="C437" s="2" t="n">
        <v>616</v>
      </c>
      <c r="D437" s="2" t="n">
        <v>16</v>
      </c>
      <c r="E437" s="2" t="inlineStr">
        <is>
          <t>752-4.1 The quantity of unclassified excavation for structures shall be the number of cubic yards (cubic meters), measured in original position, of material excavated in accordance with the plans, or as approved by the RPR; but in no case shall any yardage be included in the measurement for payment which is outside of a volume bounded by vertical planes 18 inches (0.5 m) outside of and parallel to the neat lines of the footings.</t>
        </is>
      </c>
      <c r="F437" s="2" t="inlineStr">
        <is>
          <t>Nē</t>
        </is>
      </c>
      <c r="G437" s="2" t="n"/>
    </row>
    <row r="438">
      <c r="A438" s="2" t="inlineStr">
        <is>
          <t>150-5370-10H-P0616-017</t>
        </is>
      </c>
      <c r="B438" s="2" t="inlineStr">
        <is>
          <t>150-5370-10H.pdf</t>
        </is>
      </c>
      <c r="C438" s="2" t="n">
        <v>616</v>
      </c>
      <c r="D438" s="2" t="n">
        <v>17</v>
      </c>
      <c r="E438" s="2" t="inlineStr">
        <is>
          <t>752-4.2 Concrete shall be measured by the number of cubic yards (cubic meters) of concrete, complete in place and accepted.</t>
        </is>
      </c>
      <c r="F438" s="2" t="inlineStr">
        <is>
          <t>Nē</t>
        </is>
      </c>
      <c r="G438" s="2" t="n"/>
    </row>
    <row r="439">
      <c r="A439" s="2" t="inlineStr">
        <is>
          <t>150-5370-10H-P0616-018</t>
        </is>
      </c>
      <c r="B439" s="2" t="inlineStr">
        <is>
          <t>150-5370-10H.pdf</t>
        </is>
      </c>
      <c r="C439" s="2" t="n">
        <v>616</v>
      </c>
      <c r="D439" s="2" t="n">
        <v>18</v>
      </c>
      <c r="E439" s="2" t="inlineStr">
        <is>
          <t>In computing the yardage of concrete for payment, the dimensions used shall be those shown on the plans or approved by the RPR.</t>
        </is>
      </c>
      <c r="F439" s="2" t="inlineStr">
        <is>
          <t>Nē</t>
        </is>
      </c>
      <c r="G439" s="2" t="n"/>
    </row>
    <row r="440">
      <c r="A440" s="2" t="inlineStr">
        <is>
          <t>150-5370-10H-P0616-019</t>
        </is>
      </c>
      <c r="B440" s="2" t="inlineStr">
        <is>
          <t>150-5370-10H.pdf</t>
        </is>
      </c>
      <c r="C440" s="2" t="n">
        <v>616</v>
      </c>
      <c r="D440" s="2" t="n">
        <v>19</v>
      </c>
      <c r="E440" s="2" t="inlineStr">
        <is>
          <t>No measurements or other allowances shall be made for forms, false work, cofferdams, pumping, bracing, expansion joints, or finishing of the concrete.</t>
        </is>
      </c>
      <c r="F440" s="2" t="inlineStr">
        <is>
          <t>Nē</t>
        </is>
      </c>
      <c r="G440" s="2" t="n"/>
    </row>
    <row r="441">
      <c r="A441" s="2" t="inlineStr">
        <is>
          <t>150-5370-10H-P0616-020</t>
        </is>
      </c>
      <c r="B441" s="2" t="inlineStr">
        <is>
          <t>150-5370-10H.pdf</t>
        </is>
      </c>
      <c r="C441" s="2" t="n">
        <v>616</v>
      </c>
      <c r="D441" s="2" t="n">
        <v>20</v>
      </c>
      <c r="E441" s="2" t="inlineStr">
        <is>
          <t>No deductions in yardage shall be made for the volumes of reinforcing steel or embedded items.</t>
        </is>
      </c>
      <c r="F441" s="2" t="inlineStr">
        <is>
          <t>Nē</t>
        </is>
      </c>
      <c r="G441" s="2" t="n"/>
    </row>
    <row r="442">
      <c r="A442" s="2" t="inlineStr">
        <is>
          <t>150-5370-10H-P0616-021</t>
        </is>
      </c>
      <c r="B442" s="2" t="inlineStr">
        <is>
          <t>150-5370-10H.pdf</t>
        </is>
      </c>
      <c r="C442" s="2" t="n">
        <v>616</v>
      </c>
      <c r="D442" s="2" t="n">
        <v>21</v>
      </c>
      <c r="E442" s="2" t="inlineStr">
        <is>
          <t>752-4.3 The quantity of reinforcing steel shall be the calculated theoretical number of pounds (km) placed as shown on the plans, complete in place and accepted.</t>
        </is>
      </c>
      <c r="F442" s="2" t="inlineStr">
        <is>
          <t>Nē</t>
        </is>
      </c>
      <c r="G442" s="2" t="n"/>
    </row>
    <row r="443">
      <c r="A443" s="2" t="inlineStr">
        <is>
          <t>150-5370-10H-P0616-022</t>
        </is>
      </c>
      <c r="B443" s="2" t="inlineStr">
        <is>
          <t>150-5370-10H.pdf</t>
        </is>
      </c>
      <c r="C443" s="2" t="n">
        <v>616</v>
      </c>
      <c r="D443" s="2" t="n">
        <v>22</v>
      </c>
      <c r="E443" s="2" t="inlineStr">
        <is>
          <t>The unit weight used for deformed bars shall be the weight of plain square or round bars, as the case may be, of equal nominal size.</t>
        </is>
      </c>
      <c r="F443" s="2" t="inlineStr">
        <is>
          <t>Nē</t>
        </is>
      </c>
      <c r="G443" s="2" t="n"/>
    </row>
    <row r="444">
      <c r="A444" s="2" t="inlineStr">
        <is>
          <t>150-5370-10H-P0616-023</t>
        </is>
      </c>
      <c r="B444" s="2" t="inlineStr">
        <is>
          <t>150-5370-10H.pdf</t>
        </is>
      </c>
      <c r="C444" s="2" t="n">
        <v>616</v>
      </c>
      <c r="D444" s="2" t="n">
        <v>23</v>
      </c>
      <c r="E444" s="2" t="inlineStr">
        <is>
          <t>BASIS OF PAYMENT</t>
        </is>
      </c>
      <c r="F444" s="2" t="inlineStr">
        <is>
          <t>Nē</t>
        </is>
      </c>
      <c r="G444" s="2" t="n"/>
    </row>
    <row r="445">
      <c r="A445" s="2" t="inlineStr">
        <is>
          <t>150-5370-10H-P0616-024</t>
        </is>
      </c>
      <c r="B445" s="2" t="inlineStr">
        <is>
          <t>150-5370-10H.pdf</t>
        </is>
      </c>
      <c r="C445" s="2" t="n">
        <v>616</v>
      </c>
      <c r="D445" s="2" t="n">
        <v>24</v>
      </c>
      <c r="E445" s="2" t="inlineStr">
        <is>
          <t>752-5.1 Payment will be made at the contract unit price per cubic yard (cubic meter) for unclassified excavation for structures.</t>
        </is>
      </c>
      <c r="F445" s="2" t="inlineStr">
        <is>
          <t>Nē</t>
        </is>
      </c>
      <c r="G445" s="2" t="n"/>
    </row>
    <row r="446">
      <c r="A446" s="2" t="inlineStr">
        <is>
          <t>150-5370-10H-P0616-025</t>
        </is>
      </c>
      <c r="B446" s="2" t="inlineStr">
        <is>
          <t>150-5370-10H.pdf</t>
        </is>
      </c>
      <c r="C446" s="2" t="n">
        <v>616</v>
      </c>
      <c r="D446" s="2" t="n">
        <v>25</v>
      </c>
      <c r="E446" s="2" t="inlineStr">
        <is>
          <t>752-5.2 Payment will be made at the contract unit price per cubic yard (cubic meter) for concrete for the structures.</t>
        </is>
      </c>
      <c r="F446" s="2" t="inlineStr">
        <is>
          <t>Nē</t>
        </is>
      </c>
      <c r="G446" s="2" t="n"/>
    </row>
    <row r="447">
      <c r="A447" s="2" t="inlineStr">
        <is>
          <t>150-5370-10H-P0616-026</t>
        </is>
      </c>
      <c r="B447" s="2" t="inlineStr">
        <is>
          <t>150-5370-10H.pdf</t>
        </is>
      </c>
      <c r="C447" s="2" t="n">
        <v>616</v>
      </c>
      <c r="D447" s="2" t="n">
        <v>26</v>
      </c>
      <c r="E447" s="2" t="inlineStr">
        <is>
          <t>752-5.3 Payment will be made at the contract unit price per pound (km) for reinforcing steel.</t>
        </is>
      </c>
      <c r="F447" s="2" t="inlineStr">
        <is>
          <t>Nē</t>
        </is>
      </c>
      <c r="G447" s="2" t="n"/>
    </row>
    <row r="448">
      <c r="A448" s="2" t="inlineStr">
        <is>
          <t>150-5370-10H-P0616-027</t>
        </is>
      </c>
      <c r="B448" s="2" t="inlineStr">
        <is>
          <t>150-5370-10H.pdf</t>
        </is>
      </c>
      <c r="C448" s="2" t="n">
        <v>616</v>
      </c>
      <c r="D448" s="2" t="n">
        <v>27</v>
      </c>
      <c r="E448" s="2" t="inlineStr">
        <is>
          <t>These prices shall be full compensation for furnishing all materials and for all preparation, excavation, and placing the materials, and for all labor, equipment, tools, and incidentals necessary to complete the structure.</t>
        </is>
      </c>
      <c r="F448" s="2" t="inlineStr">
        <is>
          <t>Nē</t>
        </is>
      </c>
      <c r="G448" s="2" t="n"/>
    </row>
    <row r="449">
      <c r="A449" s="2" t="inlineStr">
        <is>
          <t>150-5370-10H-P0616-028</t>
        </is>
      </c>
      <c r="B449" s="2" t="inlineStr">
        <is>
          <t>150-5370-10H.pdf</t>
        </is>
      </c>
      <c r="C449" s="2" t="n">
        <v>616</v>
      </c>
      <c r="D449" s="2" t="n">
        <v>28</v>
      </c>
      <c r="E449" s="2" t="inlineStr">
        <is>
          <t>Payment will be made under:</t>
        </is>
      </c>
      <c r="F449" s="2" t="inlineStr">
        <is>
          <t>Nē</t>
        </is>
      </c>
      <c r="G449" s="2" t="n"/>
    </row>
    <row r="450">
      <c r="A450" s="2" t="inlineStr">
        <is>
          <t>150-5370-10H-P0616-029</t>
        </is>
      </c>
      <c r="B450" s="2" t="inlineStr">
        <is>
          <t>150-5370-10H.pdf</t>
        </is>
      </c>
      <c r="C450" s="2" t="n">
        <v>616</v>
      </c>
      <c r="D450" s="2" t="n">
        <v>29</v>
      </c>
      <c r="E450" s="2" t="inlineStr">
        <is>
          <t>Item D-752-5.1 Unclassified Excavation for Structures - per cubic yard (cubic meter)</t>
        </is>
      </c>
      <c r="F450" s="2" t="inlineStr">
        <is>
          <t>Nē</t>
        </is>
      </c>
      <c r="G450" s="2" t="n"/>
    </row>
    <row r="451">
      <c r="A451" s="2" t="inlineStr">
        <is>
          <t>150-5370-10H-P0616-030</t>
        </is>
      </c>
      <c r="B451" s="2" t="inlineStr">
        <is>
          <t>150-5370-10H.pdf</t>
        </is>
      </c>
      <c r="C451" s="2" t="n">
        <v>616</v>
      </c>
      <c r="D451" s="2" t="n">
        <v>30</v>
      </c>
      <c r="E451" s="2" t="inlineStr">
        <is>
          <t>Item D-752 Concrete Culverts, Headwalls, and Miscellaneous Drainage Structures 608</t>
        </is>
      </c>
      <c r="F451" s="2" t="inlineStr">
        <is>
          <t>Nē</t>
        </is>
      </c>
      <c r="G451" s="2" t="n"/>
    </row>
    <row r="452">
      <c r="A452" s="2" t="inlineStr">
        <is>
          <t>150-5370-10H-P0629-001</t>
        </is>
      </c>
      <c r="B452" s="2" t="inlineStr">
        <is>
          <t>150-5370-10H.pdf</t>
        </is>
      </c>
      <c r="C452" s="2" t="n">
        <v>629</v>
      </c>
      <c r="D452" s="2" t="n">
        <v>1</v>
      </c>
      <c r="E452" s="2" t="inlineStr">
        <is>
          <t>12/21/2018 AC 150/5370-10H</t>
        </is>
      </c>
      <c r="F452" s="2" t="inlineStr">
        <is>
          <t>Nē</t>
        </is>
      </c>
      <c r="G452" s="2" t="n"/>
    </row>
    <row r="453">
      <c r="A453" s="2" t="inlineStr">
        <is>
          <t>150-5370-10H-P0629-002</t>
        </is>
      </c>
      <c r="B453" s="2" t="inlineStr">
        <is>
          <t>150-5370-10H.pdf</t>
        </is>
      </c>
      <c r="C453" s="2" t="n">
        <v>629</v>
      </c>
      <c r="D453" s="2" t="n">
        <v>2</v>
      </c>
      <c r="E453" s="2" t="inlineStr">
        <is>
          <t>Item T-903 Sprigging</t>
        </is>
      </c>
      <c r="F453" s="2" t="inlineStr">
        <is>
          <t>Nē</t>
        </is>
      </c>
      <c r="G453" s="2" t="n"/>
    </row>
    <row r="454">
      <c r="A454" s="2" t="inlineStr">
        <is>
          <t>150-5370-10H-P0629-003</t>
        </is>
      </c>
      <c r="B454" s="2" t="inlineStr">
        <is>
          <t>150-5370-10H.pdf</t>
        </is>
      </c>
      <c r="C454" s="2" t="n">
        <v>629</v>
      </c>
      <c r="D454" s="2" t="n">
        <v>3</v>
      </c>
      <c r="E454" s="2" t="inlineStr">
        <is>
          <t>Wildlife Hazard Attractants and Mitigation: Through the appropriate selection of turf materials for the project(s), the Engineer must address the elimination and/or mitigation of materials that could attract hazardous wildlife on and/or around an airport.</t>
        </is>
      </c>
      <c r="F454" s="2" t="inlineStr">
        <is>
          <t>Nē</t>
        </is>
      </c>
      <c r="G454" s="2" t="n"/>
    </row>
    <row r="455">
      <c r="A455" s="2" t="inlineStr">
        <is>
          <t>150-5370-10H-P0629-004</t>
        </is>
      </c>
      <c r="B455" s="2" t="inlineStr">
        <is>
          <t>150-5370-10H.pdf</t>
        </is>
      </c>
      <c r="C455" s="2" t="n">
        <v>629</v>
      </c>
      <c r="D455" s="2" t="n">
        <v>4</v>
      </c>
      <c r="E455" s="2" t="inlineStr">
        <is>
          <t>The Engineer should refer to the following documents and sites for guidance on wildlife hazards at Airports for all projects:</t>
        </is>
      </c>
      <c r="F455" s="2" t="inlineStr">
        <is>
          <t>Nē</t>
        </is>
      </c>
      <c r="G455" s="2" t="n"/>
    </row>
    <row r="456">
      <c r="A456" s="2" t="inlineStr">
        <is>
          <t>150-5370-10H-P0629-005</t>
        </is>
      </c>
      <c r="B456" s="2" t="inlineStr">
        <is>
          <t>150-5370-10H.pdf</t>
        </is>
      </c>
      <c r="C456" s="2" t="n">
        <v>629</v>
      </c>
      <c r="D456" s="2" t="n">
        <v>5</v>
      </c>
      <c r="E456" s="2" t="inlineStr">
        <is>
          <t>(1) Advisory circular (AC) 150/5200-33, Hazardous Wildlife Attractants on or Near Airports, contains guidance on certain land uses that have the potential to attract hazardous wildlife on or near airports.</t>
        </is>
      </c>
      <c r="F456" s="2" t="inlineStr">
        <is>
          <t>Nē</t>
        </is>
      </c>
      <c r="G456" s="2" t="n"/>
    </row>
    <row r="457">
      <c r="A457" s="2" t="inlineStr">
        <is>
          <t>150-5370-10H-P0629-006</t>
        </is>
      </c>
      <c r="B457" s="2" t="inlineStr">
        <is>
          <t>150-5370-10H.pdf</t>
        </is>
      </c>
      <c r="C457" s="2" t="n">
        <v>629</v>
      </c>
      <c r="D457" s="2" t="n">
        <v>6</v>
      </c>
      <c r="E457" s="2" t="inlineStr">
        <is>
          <t>The AC is available at: http://www.faa.gov/airports/resources/advisory_circulars/.</t>
        </is>
      </c>
      <c r="F457" s="2" t="inlineStr">
        <is>
          <t>Nē</t>
        </is>
      </c>
      <c r="G457" s="2" t="n"/>
    </row>
    <row r="458">
      <c r="A458" s="2" t="inlineStr">
        <is>
          <t>150-5370-10H-P0629-007</t>
        </is>
      </c>
      <c r="B458" s="2" t="inlineStr">
        <is>
          <t>150-5370-10H.pdf</t>
        </is>
      </c>
      <c r="C458" s="2" t="n">
        <v>629</v>
      </c>
      <c r="D458" s="2" t="n">
        <v>7</v>
      </c>
      <c r="E458" s="2" t="inlineStr">
        <is>
          <t>(2) Wildlife Hazard Management at Airports, A Manual for Airport Personnel, is available at: http://www.faa.gov/airports/airport_safety/wildlife/problem/media/2005_FAA_Man ual_complete.pdf.</t>
        </is>
      </c>
      <c r="F458" s="2" t="inlineStr">
        <is>
          <t>Nē</t>
        </is>
      </c>
      <c r="G458" s="2" t="n"/>
    </row>
    <row r="459">
      <c r="A459" s="2" t="inlineStr">
        <is>
          <t>150-5370-10H-P0629-008</t>
        </is>
      </c>
      <c r="B459" s="2" t="inlineStr">
        <is>
          <t>150-5370-10H.pdf</t>
        </is>
      </c>
      <c r="C459" s="2" t="n">
        <v>629</v>
      </c>
      <c r="D459" s="2" t="n">
        <v>8</v>
      </c>
      <c r="E459" s="2" t="inlineStr">
        <is>
          <t>(3) Additional information on wildlife issues can be found on the FAA Guidance on Wildlife website at: http://www.faa.gov/airports/airport_safety/wildlife/guidance</t>
        </is>
      </c>
      <c r="F459" s="2" t="inlineStr">
        <is>
          <t>Nē</t>
        </is>
      </c>
      <c r="G459" s="2" t="n"/>
    </row>
    <row r="460">
      <c r="A460" s="2" t="inlineStr">
        <is>
          <t>150-5370-10H-P0629-009</t>
        </is>
      </c>
      <c r="B460" s="2" t="inlineStr">
        <is>
          <t>150-5370-10H.pdf</t>
        </is>
      </c>
      <c r="C460" s="2" t="n">
        <v>629</v>
      </c>
      <c r="D460" s="2" t="n">
        <v>9</v>
      </c>
      <c r="E460" s="2" t="inlineStr">
        <is>
          <t>Engineer may specify that sprigging be constructed in accordance with state specifications.</t>
        </is>
      </c>
      <c r="F460" s="2" t="inlineStr">
        <is>
          <t>Nē</t>
        </is>
      </c>
      <c r="G460" s="2" t="n"/>
    </row>
    <row r="461">
      <c r="A461" s="2" t="inlineStr">
        <is>
          <t>150-5370-10H-P0629-010</t>
        </is>
      </c>
      <c r="B461" s="2" t="inlineStr">
        <is>
          <t>150-5370-10H.pdf</t>
        </is>
      </c>
      <c r="C461" s="2" t="n">
        <v>629</v>
      </c>
      <c r="D461" s="2" t="n">
        <v>10</v>
      </c>
      <c r="E461" s="2" t="inlineStr">
        <is>
          <t>All referenced state specifications must be included in project specifications.</t>
        </is>
      </c>
      <c r="F461" s="2" t="inlineStr">
        <is>
          <t>Nē</t>
        </is>
      </c>
      <c r="G461" s="2" t="n"/>
    </row>
    <row r="462">
      <c r="A462" s="2" t="inlineStr">
        <is>
          <t>150-5370-10H-P0629-011</t>
        </is>
      </c>
      <c r="B462" s="2" t="inlineStr">
        <is>
          <t>150-5370-10H.pdf</t>
        </is>
      </c>
      <c r="C462" s="2" t="n">
        <v>629</v>
      </c>
      <c r="D462" s="2" t="n">
        <v>11</v>
      </c>
      <c r="E462" s="2" t="inlineStr">
        <is>
          <t>The United States Department of Agriculture (USDA) / Animal and Plant Health Inspection Service (APHIS) / Wildlife Service staff should be consulted to ensure sprigging recommended is not a hazardous wildlife attractant.</t>
        </is>
      </c>
      <c r="F462" s="2" t="inlineStr">
        <is>
          <t>Nē</t>
        </is>
      </c>
      <c r="G462" s="2" t="n"/>
    </row>
    <row r="463">
      <c r="A463" s="2" t="inlineStr">
        <is>
          <t>150-5370-10H-P0629-012</t>
        </is>
      </c>
      <c r="B463" s="2" t="inlineStr">
        <is>
          <t>150-5370-10H.pdf</t>
        </is>
      </c>
      <c r="C463" s="2" t="n">
        <v>629</v>
      </c>
      <c r="D463" s="2" t="n">
        <v>12</v>
      </c>
      <c r="E463" s="2" t="inlineStr">
        <is>
          <t>DESCRIPTION</t>
        </is>
      </c>
      <c r="F463" s="2" t="inlineStr">
        <is>
          <t>Nē</t>
        </is>
      </c>
      <c r="G463" s="2" t="n"/>
    </row>
    <row r="464">
      <c r="A464" s="2" t="inlineStr">
        <is>
          <t>150-5370-10H-P0629-013</t>
        </is>
      </c>
      <c r="B464" s="2" t="inlineStr">
        <is>
          <t>150-5370-10H.pdf</t>
        </is>
      </c>
      <c r="C464" s="2" t="n">
        <v>629</v>
      </c>
      <c r="D464" s="2" t="n">
        <v>13</v>
      </c>
      <c r="E464" s="2" t="inlineStr">
        <is>
          <t>903-1.1 This item shall consist of planting sprigs of living grass plants at the locations shown on the plans or as directed by the RPR in accordance with these specifications.</t>
        </is>
      </c>
      <c r="F464" s="2" t="inlineStr">
        <is>
          <t>Nē</t>
        </is>
      </c>
      <c r="G464" s="2" t="n"/>
    </row>
    <row r="465">
      <c r="A465" s="2" t="inlineStr">
        <is>
          <t>150-5370-10H-P0629-014</t>
        </is>
      </c>
      <c r="B465" s="2" t="inlineStr">
        <is>
          <t>150-5370-10H.pdf</t>
        </is>
      </c>
      <c r="C465" s="2" t="n">
        <v>629</v>
      </c>
      <c r="D465" s="2" t="n">
        <v>14</v>
      </c>
      <c r="E465" s="2" t="inlineStr">
        <is>
          <t>MATERIALS</t>
        </is>
      </c>
      <c r="F465" s="2" t="inlineStr">
        <is>
          <t>Nē</t>
        </is>
      </c>
      <c r="G465" s="2" t="n"/>
    </row>
    <row r="466">
      <c r="A466" s="2" t="inlineStr">
        <is>
          <t>150-5370-10H-P0629-015</t>
        </is>
      </c>
      <c r="B466" s="2" t="inlineStr">
        <is>
          <t>150-5370-10H.pdf</t>
        </is>
      </c>
      <c r="C466" s="2" t="n">
        <v>629</v>
      </c>
      <c r="D466" s="2" t="n">
        <v>15</v>
      </c>
      <c r="E466" s="2" t="inlineStr">
        <is>
          <t>903-2.1 Sprigs.</t>
        </is>
      </c>
      <c r="F466" s="2" t="inlineStr">
        <is>
          <t>Nē</t>
        </is>
      </c>
      <c r="G466" s="2" t="n"/>
    </row>
    <row r="467">
      <c r="A467" s="2" t="inlineStr">
        <is>
          <t>150-5370-10H-P0629-016</t>
        </is>
      </c>
      <c r="B467" s="2" t="inlineStr">
        <is>
          <t>150-5370-10H.pdf</t>
        </is>
      </c>
      <c r="C467" s="2" t="n">
        <v>629</v>
      </c>
      <c r="D467" s="2" t="n">
        <v>16</v>
      </c>
      <c r="E467" s="2" t="inlineStr">
        <is>
          <t>Sprigs shall be healthy living stems (stolons or rhizomes), of the grass species stated in the special provisions, harvested without adhering soil and obtained from sources where the sod is heavy and thickly matted.</t>
        </is>
      </c>
      <c r="F467" s="2" t="inlineStr">
        <is>
          <t>Nē</t>
        </is>
      </c>
      <c r="G467" s="2" t="n"/>
    </row>
    <row r="468">
      <c r="A468" s="2" t="inlineStr">
        <is>
          <t>150-5370-10H-P0629-017</t>
        </is>
      </c>
      <c r="B468" s="2" t="inlineStr">
        <is>
          <t>150-5370-10H.pdf</t>
        </is>
      </c>
      <c r="C468" s="2" t="n">
        <v>629</v>
      </c>
      <c r="D468" s="2" t="n">
        <v>17</v>
      </c>
      <c r="E468" s="2" t="inlineStr">
        <is>
          <t>The presence of weeds or other material that might be detrimental to the proposed planting will be cause for rejection of sprigs.</t>
        </is>
      </c>
      <c r="F468" s="2" t="inlineStr">
        <is>
          <t>Nē</t>
        </is>
      </c>
      <c r="G468" s="2" t="n"/>
    </row>
    <row r="469">
      <c r="A469" s="2" t="inlineStr">
        <is>
          <t>150-5370-10H-P0629-018</t>
        </is>
      </c>
      <c r="B469" s="2" t="inlineStr">
        <is>
          <t>150-5370-10H.pdf</t>
        </is>
      </c>
      <c r="C469" s="2" t="n">
        <v>629</v>
      </c>
      <c r="D469" s="2" t="n">
        <v>18</v>
      </c>
      <c r="E469" s="2" t="inlineStr">
        <is>
          <t>903-2.2 Lime.</t>
        </is>
      </c>
      <c r="F469" s="2" t="inlineStr">
        <is>
          <t>Nē</t>
        </is>
      </c>
      <c r="G469" s="2" t="n"/>
    </row>
    <row r="470">
      <c r="A470" s="2" t="inlineStr">
        <is>
          <t>150-5370-10H-P0629-019</t>
        </is>
      </c>
      <c r="B470" s="2" t="inlineStr">
        <is>
          <t>150-5370-10H.pdf</t>
        </is>
      </c>
      <c r="C470" s="2" t="n">
        <v>629</v>
      </c>
      <c r="D470" s="2" t="n">
        <v>19</v>
      </c>
      <c r="E470" s="2" t="inlineStr">
        <is>
          <t>[ Lime shall be ground limestone containing not less than 85% of total carbonates, and shall be ground to such fineness that 90% will pass through a No.</t>
        </is>
      </c>
      <c r="F470" s="2" t="inlineStr">
        <is>
          <t>Nē</t>
        </is>
      </c>
      <c r="G470" s="2" t="n"/>
    </row>
    <row r="471">
      <c r="A471" s="2" t="inlineStr">
        <is>
          <t>150-5370-10H-P0629-020</t>
        </is>
      </c>
      <c r="B471" s="2" t="inlineStr">
        <is>
          <t>150-5370-10H.pdf</t>
        </is>
      </c>
      <c r="C471" s="2" t="n">
        <v>629</v>
      </c>
      <c r="D471" s="2" t="n">
        <v>20</v>
      </c>
      <c r="E471" s="2" t="inlineStr">
        <is>
          <t>20 (850 µm) mesh sieve and 50% will pass through a No.</t>
        </is>
      </c>
      <c r="F471" s="2" t="inlineStr">
        <is>
          <t>Nē</t>
        </is>
      </c>
      <c r="G471" s="2" t="n"/>
    </row>
    <row r="472">
      <c r="A472" s="2" t="inlineStr">
        <is>
          <t>150-5370-10H-P0629-021</t>
        </is>
      </c>
      <c r="B472" s="2" t="inlineStr">
        <is>
          <t>150-5370-10H.pdf</t>
        </is>
      </c>
      <c r="C472" s="2" t="n">
        <v>629</v>
      </c>
      <c r="D472" s="2" t="n">
        <v>21</v>
      </c>
      <c r="E472" s="2" t="inlineStr">
        <is>
          <t>100 (150 µm) mesh sieve.</t>
        </is>
      </c>
      <c r="F472" s="2" t="inlineStr">
        <is>
          <t>Nē</t>
        </is>
      </c>
      <c r="G472" s="2" t="n"/>
    </row>
    <row r="473">
      <c r="A473" s="2" t="inlineStr">
        <is>
          <t>150-5370-10H-P0629-022</t>
        </is>
      </c>
      <c r="B473" s="2" t="inlineStr">
        <is>
          <t>150-5370-10H.pdf</t>
        </is>
      </c>
      <c r="C473" s="2" t="n">
        <v>629</v>
      </c>
      <c r="D473" s="2" t="n">
        <v>22</v>
      </c>
      <c r="E473" s="2" t="inlineStr">
        <is>
          <t>Coarser material will be acceptable, providing the rates of application are increased to</t>
        </is>
      </c>
      <c r="F473" s="2" t="inlineStr">
        <is>
          <t>Nē</t>
        </is>
      </c>
      <c r="G473" s="2" t="n"/>
    </row>
    <row r="474">
      <c r="A474" s="2" t="inlineStr">
        <is>
          <t>150-5370-10H-P0629-023</t>
        </is>
      </c>
      <c r="B474" s="2" t="inlineStr">
        <is>
          <t>150-5370-10H.pdf</t>
        </is>
      </c>
      <c r="C474" s="2" t="n">
        <v>629</v>
      </c>
      <c r="D474" s="2" t="n">
        <v>23</v>
      </c>
      <c r="E474" s="2" t="inlineStr">
        <is>
          <t>Item T-903 Sprigging 621</t>
        </is>
      </c>
      <c r="F474" s="2" t="inlineStr">
        <is>
          <t>Nē</t>
        </is>
      </c>
      <c r="G474" s="2" t="n"/>
    </row>
    <row r="475">
      <c r="A475" s="2" t="inlineStr">
        <is>
          <t>150-5370-10H-P0637-001</t>
        </is>
      </c>
      <c r="B475" s="2" t="inlineStr">
        <is>
          <t>150-5370-10H.pdf</t>
        </is>
      </c>
      <c r="C475" s="2" t="n">
        <v>637</v>
      </c>
      <c r="D475" s="2" t="n">
        <v>1</v>
      </c>
      <c r="E475" s="2" t="inlineStr">
        <is>
          <t>12/21/2018 AC 150/5370-10H</t>
        </is>
      </c>
      <c r="F475" s="2" t="inlineStr">
        <is>
          <t>Nē</t>
        </is>
      </c>
      <c r="G475" s="2" t="n"/>
    </row>
    <row r="476">
      <c r="A476" s="2" t="inlineStr">
        <is>
          <t>150-5370-10H-P0637-002</t>
        </is>
      </c>
      <c r="B476" s="2" t="inlineStr">
        <is>
          <t>150-5370-10H.pdf</t>
        </is>
      </c>
      <c r="C476" s="2" t="n">
        <v>637</v>
      </c>
      <c r="D476" s="2" t="n">
        <v>2</v>
      </c>
      <c r="E476" s="2" t="inlineStr">
        <is>
          <t>[ Not required. ]</t>
        </is>
      </c>
      <c r="F476" s="2" t="inlineStr">
        <is>
          <t>Nē</t>
        </is>
      </c>
      <c r="G476" s="2" t="n"/>
    </row>
    <row r="477">
      <c r="A477" s="2" t="inlineStr">
        <is>
          <t>150-5370-10H-P0637-003</t>
        </is>
      </c>
      <c r="B477" s="2" t="inlineStr">
        <is>
          <t>150-5370-10H.pdf</t>
        </is>
      </c>
      <c r="C477" s="2" t="n">
        <v>637</v>
      </c>
      <c r="D477" s="2" t="n">
        <v>3</v>
      </c>
      <c r="E477" s="2" t="inlineStr">
        <is>
          <t>The Engineer shall specify the analysis and the application rate in pounds per acre.</t>
        </is>
      </c>
      <c r="F477" s="2" t="inlineStr">
        <is>
          <t>Nē</t>
        </is>
      </c>
      <c r="G477" s="2" t="n"/>
    </row>
    <row r="478">
      <c r="A478" s="2" t="inlineStr">
        <is>
          <t>150-5370-10H-P0637-004</t>
        </is>
      </c>
      <c r="B478" s="2" t="inlineStr">
        <is>
          <t>150-5370-10H.pdf</t>
        </is>
      </c>
      <c r="C478" s="2" t="n">
        <v>637</v>
      </c>
      <c r="D478" s="2" t="n">
        <v>4</v>
      </c>
      <c r="E478" s="2" t="inlineStr">
        <is>
          <t>Check with the local Agricultural Cooperative Extension Office for recommended fertilizer mixture for local conditions.</t>
        </is>
      </c>
      <c r="F478" s="2" t="inlineStr">
        <is>
          <t>Nē</t>
        </is>
      </c>
      <c r="G478" s="2" t="n"/>
    </row>
    <row r="479">
      <c r="A479" s="2" t="inlineStr">
        <is>
          <t>150-5370-10H-P0637-005</t>
        </is>
      </c>
      <c r="B479" s="2" t="inlineStr">
        <is>
          <t>150-5370-10H.pdf</t>
        </is>
      </c>
      <c r="C479" s="2" t="n">
        <v>637</v>
      </c>
      <c r="D479" s="2" t="n">
        <v>5</v>
      </c>
      <c r="E479" s="2" t="inlineStr">
        <is>
          <t>Paragraphs 904-2.2 and 904-2.3 shall be deleted if not applicable.</t>
        </is>
      </c>
      <c r="F479" s="2" t="inlineStr">
        <is>
          <t>Nē</t>
        </is>
      </c>
      <c r="G479" s="2" t="n"/>
    </row>
    <row r="480">
      <c r="A480" s="2" t="inlineStr">
        <is>
          <t>150-5370-10H-P0637-006</t>
        </is>
      </c>
      <c r="B480" s="2" t="inlineStr">
        <is>
          <t>150-5370-10H.pdf</t>
        </is>
      </c>
      <c r="C480" s="2" t="n">
        <v>637</v>
      </c>
      <c r="D480" s="2" t="n">
        <v>6</v>
      </c>
      <c r="E480" s="2" t="inlineStr">
        <is>
          <t>904-2.4 Water.</t>
        </is>
      </c>
      <c r="F480" s="2" t="inlineStr">
        <is>
          <t>Nē</t>
        </is>
      </c>
      <c r="G480" s="2" t="n"/>
    </row>
    <row r="481">
      <c r="A481" s="2" t="inlineStr">
        <is>
          <t>150-5370-10H-P0637-007</t>
        </is>
      </c>
      <c r="B481" s="2" t="inlineStr">
        <is>
          <t>150-5370-10H.pdf</t>
        </is>
      </c>
      <c r="C481" s="2" t="n">
        <v>637</v>
      </c>
      <c r="D481" s="2" t="n">
        <v>7</v>
      </c>
      <c r="E481" s="2" t="inlineStr">
        <is>
          <t>The water shall be sufficiently free from oil, acid, alkali, salt, or other harmful materials that would inhibit the growth of grass.</t>
        </is>
      </c>
      <c r="F481" s="2" t="inlineStr">
        <is>
          <t>Nē</t>
        </is>
      </c>
      <c r="G481" s="2" t="n"/>
    </row>
    <row r="482">
      <c r="A482" s="2" t="inlineStr">
        <is>
          <t>150-5370-10H-P0637-008</t>
        </is>
      </c>
      <c r="B482" s="2" t="inlineStr">
        <is>
          <t>150-5370-10H.pdf</t>
        </is>
      </c>
      <c r="C482" s="2" t="n">
        <v>637</v>
      </c>
      <c r="D482" s="2" t="n">
        <v>8</v>
      </c>
      <c r="E482" s="2" t="inlineStr">
        <is>
          <t>904-2.5 Soil for repairs.</t>
        </is>
      </c>
      <c r="F482" s="2" t="inlineStr">
        <is>
          <t>Nē</t>
        </is>
      </c>
      <c r="G482" s="2" t="n"/>
    </row>
    <row r="483">
      <c r="A483" s="2" t="inlineStr">
        <is>
          <t>150-5370-10H-P0637-009</t>
        </is>
      </c>
      <c r="B483" s="2" t="inlineStr">
        <is>
          <t>150-5370-10H.pdf</t>
        </is>
      </c>
      <c r="C483" s="2" t="n">
        <v>637</v>
      </c>
      <c r="D483" s="2" t="n">
        <v>9</v>
      </c>
      <c r="E483" s="2" t="inlineStr">
        <is>
          <t>The soil for fill and topsoiling of areas to be repaired shall be at least of equal quality to that which exists in areas adjacent to the area to be repaired.</t>
        </is>
      </c>
      <c r="F483" s="2" t="inlineStr">
        <is>
          <t>Nē</t>
        </is>
      </c>
      <c r="G483" s="2" t="n"/>
    </row>
    <row r="484">
      <c r="A484" s="2" t="inlineStr">
        <is>
          <t>150-5370-10H-P0637-010</t>
        </is>
      </c>
      <c r="B484" s="2" t="inlineStr">
        <is>
          <t>150-5370-10H.pdf</t>
        </is>
      </c>
      <c r="C484" s="2" t="n">
        <v>637</v>
      </c>
      <c r="D484" s="2" t="n">
        <v>10</v>
      </c>
      <c r="E484" s="2" t="inlineStr">
        <is>
          <t>The soil shall be relatively free from large stones, roots, stumps, or other materials that will interfere with subsequent sowing of seed, compacting, and establishing turf, and shall be approved by the RPR before being placed.</t>
        </is>
      </c>
      <c r="F484" s="2" t="inlineStr">
        <is>
          <t>Nē</t>
        </is>
      </c>
      <c r="G484" s="2" t="n"/>
    </row>
    <row r="485">
      <c r="A485" s="2" t="inlineStr">
        <is>
          <t>150-5370-10H-P0637-011</t>
        </is>
      </c>
      <c r="B485" s="2" t="inlineStr">
        <is>
          <t>150-5370-10H.pdf</t>
        </is>
      </c>
      <c r="C485" s="2" t="n">
        <v>637</v>
      </c>
      <c r="D485" s="2" t="n">
        <v>11</v>
      </c>
      <c r="E485" s="2" t="inlineStr">
        <is>
          <t>CONSTRUCTION METHODS</t>
        </is>
      </c>
      <c r="F485" s="2" t="inlineStr">
        <is>
          <t>Nē</t>
        </is>
      </c>
      <c r="G485" s="2" t="n"/>
    </row>
    <row r="486">
      <c r="A486" s="2" t="inlineStr">
        <is>
          <t>150-5370-10H-P0637-012</t>
        </is>
      </c>
      <c r="B486" s="2" t="inlineStr">
        <is>
          <t>150-5370-10H.pdf</t>
        </is>
      </c>
      <c r="C486" s="2" t="n">
        <v>637</v>
      </c>
      <c r="D486" s="2" t="n">
        <v>12</v>
      </c>
      <c r="E486" s="2" t="inlineStr">
        <is>
          <t>904-3.1 General.</t>
        </is>
      </c>
      <c r="F486" s="2" t="inlineStr">
        <is>
          <t>Nē</t>
        </is>
      </c>
      <c r="G486" s="2" t="n"/>
    </row>
    <row r="487">
      <c r="A487" s="2" t="inlineStr">
        <is>
          <t>150-5370-10H-P0637-013</t>
        </is>
      </c>
      <c r="B487" s="2" t="inlineStr">
        <is>
          <t>150-5370-10H.pdf</t>
        </is>
      </c>
      <c r="C487" s="2" t="n">
        <v>637</v>
      </c>
      <c r="D487" s="2" t="n">
        <v>13</v>
      </c>
      <c r="E487" s="2" t="inlineStr">
        <is>
          <t>Areas to be solid, strip, or spot sodded shall be shown on the plans.</t>
        </is>
      </c>
      <c r="F487" s="2" t="inlineStr">
        <is>
          <t>Nē</t>
        </is>
      </c>
      <c r="G487" s="2" t="n"/>
    </row>
    <row r="488">
      <c r="A488" s="2" t="inlineStr">
        <is>
          <t>150-5370-10H-P0637-014</t>
        </is>
      </c>
      <c r="B488" s="2" t="inlineStr">
        <is>
          <t>150-5370-10H.pdf</t>
        </is>
      </c>
      <c r="C488" s="2" t="n">
        <v>637</v>
      </c>
      <c r="D488" s="2" t="n">
        <v>14</v>
      </c>
      <c r="E488" s="2" t="inlineStr">
        <is>
          <t>Areas requiring special ground surface preparation such as tilling and those areas in a satisfactory condition that are to remain undisturbed shall also be shown on the plans.</t>
        </is>
      </c>
      <c r="F488" s="2" t="inlineStr">
        <is>
          <t>Nē</t>
        </is>
      </c>
      <c r="G488" s="2" t="n"/>
    </row>
    <row r="489">
      <c r="A489" s="2" t="inlineStr">
        <is>
          <t>150-5370-10H-P0637-015</t>
        </is>
      </c>
      <c r="B489" s="2" t="inlineStr">
        <is>
          <t>150-5370-10H.pdf</t>
        </is>
      </c>
      <c r="C489" s="2" t="n">
        <v>637</v>
      </c>
      <c r="D489" s="2" t="n">
        <v>15</v>
      </c>
      <c r="E489" s="2" t="inlineStr">
        <is>
          <t>Suitable equipment necessary for proper preparation of the ground surface and for the handling and placing of all required materials shall be on hand, in good condition, and shall be approved by the RPR before the various operations are started.</t>
        </is>
      </c>
      <c r="F489" s="2" t="inlineStr">
        <is>
          <t>Nē</t>
        </is>
      </c>
      <c r="G489" s="2" t="n"/>
    </row>
    <row r="490">
      <c r="A490" s="2" t="inlineStr">
        <is>
          <t>150-5370-10H-P0637-016</t>
        </is>
      </c>
      <c r="B490" s="2" t="inlineStr">
        <is>
          <t>150-5370-10H.pdf</t>
        </is>
      </c>
      <c r="C490" s="2" t="n">
        <v>637</v>
      </c>
      <c r="D490" s="2" t="n">
        <v>16</v>
      </c>
      <c r="E490" s="2" t="inlineStr">
        <is>
          <t>The Contractor shall demonstrate to the RPR before starting the various operations that the application of required materials will be made at the specified rates.</t>
        </is>
      </c>
      <c r="F490" s="2" t="inlineStr">
        <is>
          <t>Nē</t>
        </is>
      </c>
      <c r="G490" s="2" t="n"/>
    </row>
    <row r="491">
      <c r="A491" s="2" t="inlineStr">
        <is>
          <t>150-5370-10H-P0637-017</t>
        </is>
      </c>
      <c r="B491" s="2" t="inlineStr">
        <is>
          <t>150-5370-10H.pdf</t>
        </is>
      </c>
      <c r="C491" s="2" t="n">
        <v>637</v>
      </c>
      <c r="D491" s="2" t="n">
        <v>17</v>
      </c>
      <c r="E491" s="2" t="inlineStr">
        <is>
          <t>904-3.2 Preparing the ground surface.</t>
        </is>
      </c>
      <c r="F491" s="2" t="inlineStr">
        <is>
          <t>Nē</t>
        </is>
      </c>
      <c r="G491" s="2" t="n"/>
    </row>
    <row r="492">
      <c r="A492" s="2" t="inlineStr">
        <is>
          <t>150-5370-10H-P0637-018</t>
        </is>
      </c>
      <c r="B492" s="2" t="inlineStr">
        <is>
          <t>150-5370-10H.pdf</t>
        </is>
      </c>
      <c r="C492" s="2" t="n">
        <v>637</v>
      </c>
      <c r="D492" s="2" t="n">
        <v>18</v>
      </c>
      <c r="E492" s="2" t="inlineStr">
        <is>
          <t>After grading of areas has been completed and before applying fertilizer and limestone, areas to be sodded shall be raked or otherwise cleared of stones larger than 2 inches (50 mm) in any diameter, sticks, stumps, and other debris which might interfere with sodding, growth of grasses, or subsequent maintenance of grass-covered areas.</t>
        </is>
      </c>
      <c r="F492" s="2" t="inlineStr">
        <is>
          <t>Nē</t>
        </is>
      </c>
      <c r="G492" s="2" t="n"/>
    </row>
    <row r="493">
      <c r="A493" s="2" t="inlineStr">
        <is>
          <t>150-5370-10H-P0637-019</t>
        </is>
      </c>
      <c r="B493" s="2" t="inlineStr">
        <is>
          <t>150-5370-10H.pdf</t>
        </is>
      </c>
      <c r="C493" s="2" t="n">
        <v>637</v>
      </c>
      <c r="D493" s="2" t="n">
        <v>19</v>
      </c>
      <c r="E493" s="2" t="inlineStr">
        <is>
          <t>If any damage by erosion or other causes occurs after grading of areas and before beginning the application of fertilizer and ground limestone, the Contractor shall repair such damage.</t>
        </is>
      </c>
      <c r="F493" s="2" t="inlineStr">
        <is>
          <t>Nē</t>
        </is>
      </c>
      <c r="G493" s="2" t="n"/>
    </row>
    <row r="494">
      <c r="A494" s="2" t="inlineStr">
        <is>
          <t>150-5370-10H-P0637-020</t>
        </is>
      </c>
      <c r="B494" s="2" t="inlineStr">
        <is>
          <t>150-5370-10H.pdf</t>
        </is>
      </c>
      <c r="C494" s="2" t="n">
        <v>637</v>
      </c>
      <c r="D494" s="2" t="n">
        <v>20</v>
      </c>
      <c r="E494" s="2" t="inlineStr">
        <is>
          <t>This may include filling gullies, smoothing irregularities, and repairing other incidental damage.</t>
        </is>
      </c>
      <c r="F494" s="2" t="inlineStr">
        <is>
          <t>Nē</t>
        </is>
      </c>
      <c r="G494" s="2" t="n"/>
    </row>
    <row r="495">
      <c r="A495" s="2" t="inlineStr">
        <is>
          <t>150-5370-10H-P0637-021</t>
        </is>
      </c>
      <c r="B495" s="2" t="inlineStr">
        <is>
          <t>150-5370-10H.pdf</t>
        </is>
      </c>
      <c r="C495" s="2" t="n">
        <v>637</v>
      </c>
      <c r="D495" s="2" t="n">
        <v>21</v>
      </c>
      <c r="E495" s="2" t="inlineStr">
        <is>
          <t>904-3.3 Applying fertilizer and ground limestone.</t>
        </is>
      </c>
      <c r="F495" s="2" t="inlineStr">
        <is>
          <t>Nē</t>
        </is>
      </c>
      <c r="G495" s="2" t="n"/>
    </row>
    <row r="496">
      <c r="A496" s="2" t="inlineStr">
        <is>
          <t>150-5370-10H-P0637-022</t>
        </is>
      </c>
      <c r="B496" s="2" t="inlineStr">
        <is>
          <t>150-5370-10H.pdf</t>
        </is>
      </c>
      <c r="C496" s="2" t="n">
        <v>637</v>
      </c>
      <c r="D496" s="2" t="n">
        <v>22</v>
      </c>
      <c r="E496" s="2" t="inlineStr">
        <is>
          <t>Following ground surface preparation, fertilizer shall be uniformly spread at a rate which will provide not less than the minimum quantity of each fertilizer ingredient, as stated in the special provisions.</t>
        </is>
      </c>
      <c r="F496" s="2" t="inlineStr">
        <is>
          <t>Nē</t>
        </is>
      </c>
      <c r="G496" s="2" t="n"/>
    </row>
    <row r="497">
      <c r="A497" s="2" t="inlineStr">
        <is>
          <t>150-5370-10H-P0637-023</t>
        </is>
      </c>
      <c r="B497" s="2" t="inlineStr">
        <is>
          <t>150-5370-10H.pdf</t>
        </is>
      </c>
      <c r="C497" s="2" t="n">
        <v>637</v>
      </c>
      <c r="D497" s="2" t="n">
        <v>23</v>
      </c>
      <c r="E497" s="2" t="inlineStr">
        <is>
          <t>If use of ground limestone is required, it shall then be spread at a rate that will provide not less than the minimum quantity stated in the special provisions.</t>
        </is>
      </c>
      <c r="F497" s="2" t="inlineStr">
        <is>
          <t>Nē</t>
        </is>
      </c>
      <c r="G497" s="2" t="n"/>
    </row>
    <row r="498">
      <c r="A498" s="2" t="inlineStr">
        <is>
          <t>150-5370-10H-P0637-024</t>
        </is>
      </c>
      <c r="B498" s="2" t="inlineStr">
        <is>
          <t>150-5370-10H.pdf</t>
        </is>
      </c>
      <c r="C498" s="2" t="n">
        <v>637</v>
      </c>
      <c r="D498" s="2" t="n">
        <v>24</v>
      </c>
      <c r="E498" s="2" t="inlineStr">
        <is>
          <t>These materials shall be incorporated into the soil to a depth of not less than 2 inches (50 mm) by discing, raking, or other suitable methods.</t>
        </is>
      </c>
      <c r="F498" s="2" t="inlineStr">
        <is>
          <t>Nē</t>
        </is>
      </c>
      <c r="G498" s="2" t="n"/>
    </row>
    <row r="499">
      <c r="A499" s="2" t="inlineStr">
        <is>
          <t>150-5370-10H-P0637-025</t>
        </is>
      </c>
      <c r="B499" s="2" t="inlineStr">
        <is>
          <t>150-5370-10H.pdf</t>
        </is>
      </c>
      <c r="C499" s="2" t="n">
        <v>637</v>
      </c>
      <c r="D499" s="2" t="n">
        <v>25</v>
      </c>
      <c r="E499" s="2" t="inlineStr">
        <is>
          <t>Any stones larger than 2 inches (50 mm) in any diameter, large clods, roots, and other litter brought to the surface by this operation shall be removed.</t>
        </is>
      </c>
      <c r="F499" s="2" t="inlineStr">
        <is>
          <t>Nē</t>
        </is>
      </c>
      <c r="G499" s="2" t="n"/>
    </row>
    <row r="500">
      <c r="A500" s="2" t="inlineStr">
        <is>
          <t>150-5370-10H-P0637-026</t>
        </is>
      </c>
      <c r="B500" s="2" t="inlineStr">
        <is>
          <t>150-5370-10H.pdf</t>
        </is>
      </c>
      <c r="C500" s="2" t="n">
        <v>637</v>
      </c>
      <c r="D500" s="2" t="n">
        <v>26</v>
      </c>
      <c r="E500" s="2" t="inlineStr">
        <is>
          <t>904-3.4 Obtaining and delivering sod.</t>
        </is>
      </c>
      <c r="F500" s="2" t="inlineStr">
        <is>
          <t>Nē</t>
        </is>
      </c>
      <c r="G500" s="2" t="n"/>
    </row>
    <row r="501">
      <c r="A501" s="2" t="inlineStr">
        <is>
          <t>150-5370-10H-P0637-027</t>
        </is>
      </c>
      <c r="B501" s="2" t="inlineStr">
        <is>
          <t>150-5370-10H.pdf</t>
        </is>
      </c>
      <c r="C501" s="2" t="n">
        <v>637</v>
      </c>
      <c r="D501" s="2" t="n">
        <v>27</v>
      </c>
      <c r="E501" s="2" t="inlineStr">
        <is>
          <t>After inspection and approval of the source of sod by the RPR, the sod shall be cut with approved sod cutters to such a thickness that after it has been transported and placed on the prepared bed, but before it has been compacted, it shall have a uniform thickness of not less than 2 inches (50 mm).</t>
        </is>
      </c>
      <c r="F501" s="2" t="inlineStr">
        <is>
          <t>Nē</t>
        </is>
      </c>
      <c r="G501" s="2" t="n"/>
    </row>
    <row r="502">
      <c r="A502" s="2" t="inlineStr">
        <is>
          <t>150-5370-10H-P0637-028</t>
        </is>
      </c>
      <c r="B502" s="2" t="inlineStr">
        <is>
          <t>150-5370-10H.pdf</t>
        </is>
      </c>
      <c r="C502" s="2" t="n">
        <v>637</v>
      </c>
      <c r="D502" s="2" t="n">
        <v>28</v>
      </c>
      <c r="E502" s="2" t="inlineStr">
        <is>
          <t>Sod sections or strips shall be cut in uniform widths, not less than 10 inches (250 mm), and in lengths of not less than 18 inches (0.5 m), but of such length as may be readily lifted without breaking, tearing, or loss of soil.</t>
        </is>
      </c>
      <c r="F502" s="2" t="inlineStr">
        <is>
          <t>Nē</t>
        </is>
      </c>
      <c r="G502" s="2" t="n"/>
    </row>
    <row r="503">
      <c r="A503" s="2" t="inlineStr">
        <is>
          <t>150-5370-10H-P0637-029</t>
        </is>
      </c>
      <c r="B503" s="2" t="inlineStr">
        <is>
          <t>150-5370-10H.pdf</t>
        </is>
      </c>
      <c r="C503" s="2" t="n">
        <v>637</v>
      </c>
      <c r="D503" s="2" t="n">
        <v>29</v>
      </c>
      <c r="E503" s="2" t="inlineStr">
        <is>
          <t>Where strips are required, the sod must be rolled without damage with the grass folded inside.</t>
        </is>
      </c>
      <c r="F503" s="2" t="inlineStr">
        <is>
          <t>Nē</t>
        </is>
      </c>
      <c r="G503" s="2" t="n"/>
    </row>
    <row r="504">
      <c r="A504" s="2" t="inlineStr">
        <is>
          <t>150-5370-10H-P0637-030</t>
        </is>
      </c>
      <c r="B504" s="2" t="inlineStr">
        <is>
          <t>150-5370-10H.pdf</t>
        </is>
      </c>
      <c r="C504" s="2" t="n">
        <v>637</v>
      </c>
      <c r="D504" s="2" t="n">
        <v>30</v>
      </c>
      <c r="E504" s="2" t="inlineStr">
        <is>
          <t>The Contractor may be required to mow high grass before cutting sod.</t>
        </is>
      </c>
      <c r="F504" s="2" t="inlineStr">
        <is>
          <t>Nē</t>
        </is>
      </c>
      <c r="G504" s="2" t="n"/>
    </row>
    <row r="505">
      <c r="A505" s="2" t="inlineStr">
        <is>
          <t>150-5370-10H-P0637-031</t>
        </is>
      </c>
      <c r="B505" s="2" t="inlineStr">
        <is>
          <t>150-5370-10H.pdf</t>
        </is>
      </c>
      <c r="C505" s="2" t="n">
        <v>637</v>
      </c>
      <c r="D505" s="2" t="n">
        <v>31</v>
      </c>
      <c r="E505" s="2" t="inlineStr">
        <is>
          <t>Item T-904 Sodding 629</t>
        </is>
      </c>
      <c r="F505" s="2" t="inlineStr">
        <is>
          <t>Nē</t>
        </is>
      </c>
      <c r="G505" s="2" t="n"/>
    </row>
    <row r="506">
      <c r="A506" s="2" t="inlineStr">
        <is>
          <t>150-5370-10H-P0663-001</t>
        </is>
      </c>
      <c r="B506" s="2" t="inlineStr">
        <is>
          <t>150-5370-10H.pdf</t>
        </is>
      </c>
      <c r="C506" s="2" t="n">
        <v>663</v>
      </c>
      <c r="D506" s="2" t="n">
        <v>1</v>
      </c>
      <c r="E506" s="2" t="inlineStr">
        <is>
          <t>12/21/2018 AC 150/5370-10H</t>
        </is>
      </c>
      <c r="F506" s="2" t="inlineStr">
        <is>
          <t>Nē</t>
        </is>
      </c>
      <c r="G506" s="2" t="n"/>
    </row>
    <row r="507">
      <c r="A507" s="2" t="inlineStr">
        <is>
          <t>150-5370-10H-P0663-002</t>
        </is>
      </c>
      <c r="B507" s="2" t="inlineStr">
        <is>
          <t>150-5370-10H.pdf</t>
        </is>
      </c>
      <c r="C507" s="2" t="n">
        <v>663</v>
      </c>
      <c r="D507" s="2" t="n">
        <v>2</v>
      </c>
      <c r="E507" s="2" t="inlineStr">
        <is>
          <t>Description A-A-59544A Type THWN-2 shall be used.</t>
        </is>
      </c>
      <c r="F507" s="2" t="inlineStr">
        <is>
          <t>Nē</t>
        </is>
      </c>
      <c r="G507" s="2" t="n"/>
    </row>
    <row r="508">
      <c r="A508" s="2" t="inlineStr">
        <is>
          <t>150-5370-10H-P0663-003</t>
        </is>
      </c>
      <c r="B508" s="2" t="inlineStr">
        <is>
          <t>150-5370-10H.pdf</t>
        </is>
      </c>
      <c r="C508" s="2" t="n">
        <v>663</v>
      </c>
      <c r="D508" s="2" t="n">
        <v>3</v>
      </c>
      <c r="E508" s="2" t="inlineStr">
        <is>
          <t>The wires shall be of the type, size, number of conductors, and voltage shown in the plans or in the proposal.</t>
        </is>
      </c>
      <c r="F508" s="2" t="inlineStr">
        <is>
          <t>Nē</t>
        </is>
      </c>
      <c r="G508" s="2" t="n"/>
    </row>
    <row r="509">
      <c r="A509" s="2" t="inlineStr">
        <is>
          <t>150-5370-10H-P0663-004</t>
        </is>
      </c>
      <c r="B509" s="2" t="inlineStr">
        <is>
          <t>150-5370-10H.pdf</t>
        </is>
      </c>
      <c r="C509" s="2" t="n">
        <v>663</v>
      </c>
      <c r="D509" s="2" t="n">
        <v>4</v>
      </c>
      <c r="E509" s="2" t="inlineStr">
        <is>
          <t>107-2.4 Conduit.</t>
        </is>
      </c>
      <c r="F509" s="2" t="inlineStr">
        <is>
          <t>Nē</t>
        </is>
      </c>
      <c r="G509" s="2" t="n"/>
    </row>
    <row r="510">
      <c r="A510" s="2" t="inlineStr">
        <is>
          <t>150-5370-10H-P0663-005</t>
        </is>
      </c>
      <c r="B510" s="2" t="inlineStr">
        <is>
          <t>150-5370-10H.pdf</t>
        </is>
      </c>
      <c r="C510" s="2" t="n">
        <v>663</v>
      </c>
      <c r="D510" s="2" t="n">
        <v>5</v>
      </c>
      <c r="E510" s="2" t="inlineStr">
        <is>
          <t>Rigid steel conduit and fittings shall conform to the requirements of Underwriters Laboratories Standards 6, 514B, and 1242.</t>
        </is>
      </c>
      <c r="F510" s="2" t="inlineStr">
        <is>
          <t>Nē</t>
        </is>
      </c>
      <c r="G510" s="2" t="n"/>
    </row>
    <row r="511">
      <c r="A511" s="2" t="inlineStr">
        <is>
          <t>150-5370-10H-P0663-006</t>
        </is>
      </c>
      <c r="B511" s="2" t="inlineStr">
        <is>
          <t>150-5370-10H.pdf</t>
        </is>
      </c>
      <c r="C511" s="2" t="n">
        <v>663</v>
      </c>
      <c r="D511" s="2" t="n">
        <v>6</v>
      </c>
      <c r="E511" s="2" t="inlineStr">
        <is>
          <t>107-2.5 Plastic conduit (for use below grade only).</t>
        </is>
      </c>
      <c r="F511" s="2" t="inlineStr">
        <is>
          <t>Nē</t>
        </is>
      </c>
      <c r="G511" s="2" t="n"/>
    </row>
    <row r="512">
      <c r="A512" s="2" t="inlineStr">
        <is>
          <t>150-5370-10H-P0663-007</t>
        </is>
      </c>
      <c r="B512" s="2" t="inlineStr">
        <is>
          <t>150-5370-10H.pdf</t>
        </is>
      </c>
      <c r="C512" s="2" t="n">
        <v>663</v>
      </c>
      <c r="D512" s="2" t="n">
        <v>7</v>
      </c>
      <c r="E512" s="2" t="inlineStr">
        <is>
          <t>Plastic conduit and fittings shall be per the following:  UL 514B covers W-C-1094 - Conduit fittings all types, Classes 1 thru 3 and 6 thru 10  UL 514C covers W-C-1094 - all types, Class 5 junction box and cover in plastic (polyvinyl chloride (PVC))  UL 651 covers W-C-1094 - Rigid PVC Conduit, types I and II, Class 4  UL 651A covers W-C-1094 - Rigid PVC Conduit and high-density polyethylene (HDPE) Conduit type III and Class 4</t>
        </is>
      </c>
      <c r="F512" s="2" t="inlineStr">
        <is>
          <t>Nē</t>
        </is>
      </c>
      <c r="G512" s="2" t="n"/>
    </row>
    <row r="513">
      <c r="A513" s="2" t="inlineStr">
        <is>
          <t>150-5370-10H-P0663-008</t>
        </is>
      </c>
      <c r="B513" s="2" t="inlineStr">
        <is>
          <t>150-5370-10H.pdf</t>
        </is>
      </c>
      <c r="C513" s="2" t="n">
        <v>663</v>
      </c>
      <c r="D513" s="2" t="n">
        <v>8</v>
      </c>
      <c r="E513" s="2" t="inlineStr">
        <is>
          <t>Underwriters Laboratories Standard UL-651 shall be one of the following, as shown in the plans:</t>
        </is>
      </c>
      <c r="F513" s="2" t="inlineStr">
        <is>
          <t>Nē</t>
        </is>
      </c>
      <c r="G513" s="2" t="n"/>
    </row>
    <row r="514">
      <c r="A514" s="2" t="inlineStr">
        <is>
          <t>150-5370-10H-P0663-009</t>
        </is>
      </c>
      <c r="B514" s="2" t="inlineStr">
        <is>
          <t>150-5370-10H.pdf</t>
        </is>
      </c>
      <c r="C514" s="2" t="n">
        <v>663</v>
      </c>
      <c r="D514" s="2" t="n">
        <v>9</v>
      </c>
      <c r="E514" s="2" t="inlineStr">
        <is>
          <t>a. Type I–Schedule 40 PVC suitable for underground use either direct-buried or encased in concrete.</t>
        </is>
      </c>
      <c r="F514" s="2" t="inlineStr">
        <is>
          <t>Nē</t>
        </is>
      </c>
      <c r="G514" s="2" t="n"/>
    </row>
    <row r="515">
      <c r="A515" s="2" t="inlineStr">
        <is>
          <t>150-5370-10H-P0663-010</t>
        </is>
      </c>
      <c r="B515" s="2" t="inlineStr">
        <is>
          <t>150-5370-10H.pdf</t>
        </is>
      </c>
      <c r="C515" s="2" t="n">
        <v>663</v>
      </c>
      <c r="D515" s="2" t="n">
        <v>10</v>
      </c>
      <c r="E515" s="2" t="inlineStr">
        <is>
          <t>b. Type II–Schedule 40 PVC suitable for either above ground or underground use.</t>
        </is>
      </c>
      <c r="F515" s="2" t="inlineStr">
        <is>
          <t>Nē</t>
        </is>
      </c>
      <c r="G515" s="2" t="n"/>
    </row>
    <row r="516">
      <c r="A516" s="2" t="inlineStr">
        <is>
          <t>150-5370-10H-P0663-011</t>
        </is>
      </c>
      <c r="B516" s="2" t="inlineStr">
        <is>
          <t>150-5370-10H.pdf</t>
        </is>
      </c>
      <c r="C516" s="2" t="n">
        <v>663</v>
      </c>
      <c r="D516" s="2" t="n">
        <v>11</v>
      </c>
      <c r="E516" s="2" t="inlineStr">
        <is>
          <t>Plastic conduit adhesive shall be a solvent cement manufactured specifically for the purpose of gluing the type of plastic conduit and fitting.</t>
        </is>
      </c>
      <c r="F516" s="2" t="inlineStr">
        <is>
          <t>Nē</t>
        </is>
      </c>
      <c r="G516" s="2" t="n"/>
    </row>
    <row r="517">
      <c r="A517" s="2" t="inlineStr">
        <is>
          <t>150-5370-10H-P0663-012</t>
        </is>
      </c>
      <c r="B517" s="2" t="inlineStr">
        <is>
          <t>150-5370-10H.pdf</t>
        </is>
      </c>
      <c r="C517" s="2" t="n">
        <v>663</v>
      </c>
      <c r="D517" s="2" t="n">
        <v>12</v>
      </c>
      <c r="E517" s="2" t="inlineStr">
        <is>
          <t>107-2.6 Concrete.</t>
        </is>
      </c>
      <c r="F517" s="2" t="inlineStr">
        <is>
          <t>Nē</t>
        </is>
      </c>
      <c r="G517" s="2" t="n"/>
    </row>
    <row r="518">
      <c r="A518" s="2" t="inlineStr">
        <is>
          <t>150-5370-10H-P0663-013</t>
        </is>
      </c>
      <c r="B518" s="2" t="inlineStr">
        <is>
          <t>150-5370-10H.pdf</t>
        </is>
      </c>
      <c r="C518" s="2" t="n">
        <v>663</v>
      </c>
      <c r="D518" s="2" t="n">
        <v>13</v>
      </c>
      <c r="E518" s="2" t="inlineStr">
        <is>
          <t>[ The concrete for foundations shall be proportioned, placed, and cured per Item P-610, Concrete for Miscellaneous Structures. ]</t>
        </is>
      </c>
      <c r="F518" s="2" t="inlineStr">
        <is>
          <t>Nē</t>
        </is>
      </c>
      <c r="G518" s="2" t="n"/>
    </row>
    <row r="519">
      <c r="A519" s="2" t="inlineStr">
        <is>
          <t>150-5370-10H-P0663-014</t>
        </is>
      </c>
      <c r="B519" s="2" t="inlineStr">
        <is>
          <t>150-5370-10H.pdf</t>
        </is>
      </c>
      <c r="C519" s="2" t="n">
        <v>663</v>
      </c>
      <c r="D519" s="2" t="n">
        <v>14</v>
      </c>
      <c r="E519" s="2" t="inlineStr">
        <is>
          <t>If P-610 is not used elsewhere on the project, it is acceptable to replace this paragraph with the following:</t>
        </is>
      </c>
      <c r="F519" s="2" t="inlineStr">
        <is>
          <t>Nē</t>
        </is>
      </c>
      <c r="G519" s="2" t="n"/>
    </row>
    <row r="520">
      <c r="A520" s="2" t="inlineStr">
        <is>
          <t>150-5370-10H-P0663-015</t>
        </is>
      </c>
      <c r="B520" s="2" t="inlineStr">
        <is>
          <t>150-5370-10H.pdf</t>
        </is>
      </c>
      <c r="C520" s="2" t="n">
        <v>663</v>
      </c>
      <c r="D520" s="2" t="n">
        <v>15</v>
      </c>
      <c r="E520" s="2" t="inlineStr">
        <is>
          <t>Concrete foundations shall be proportioned, placed, and cured per state department of transportation structural concrete with minimum 25% Type F fly ash, and a minimum allowable compressive strength of 4,000 psi (28 MPa).</t>
        </is>
      </c>
      <c r="F520" s="2" t="inlineStr">
        <is>
          <t>Nē</t>
        </is>
      </c>
      <c r="G520" s="2" t="n"/>
    </row>
    <row r="521">
      <c r="A521" s="2" t="inlineStr">
        <is>
          <t>150-5370-10H-P0663-016</t>
        </is>
      </c>
      <c r="B521" s="2" t="inlineStr">
        <is>
          <t>150-5370-10H.pdf</t>
        </is>
      </c>
      <c r="C521" s="2" t="n">
        <v>663</v>
      </c>
      <c r="D521" s="2" t="n">
        <v>16</v>
      </c>
      <c r="E521" s="2" t="inlineStr">
        <is>
          <t>107-2.7 Paint.</t>
        </is>
      </c>
      <c r="F521" s="2" t="inlineStr">
        <is>
          <t>Nē</t>
        </is>
      </c>
      <c r="G521" s="2" t="n"/>
    </row>
    <row r="522">
      <c r="A522" s="2" t="inlineStr">
        <is>
          <t>150-5370-10H-P0663-017</t>
        </is>
      </c>
      <c r="B522" s="2" t="inlineStr">
        <is>
          <t>150-5370-10H.pdf</t>
        </is>
      </c>
      <c r="C522" s="2" t="n">
        <v>663</v>
      </c>
      <c r="D522" s="2" t="n">
        <v>17</v>
      </c>
      <c r="E522" s="2" t="inlineStr">
        <is>
          <t>a. Priming paint for non-galvanized metal surfaces shall be a high solids alkyd primer compatible with the manufacturer’s recommendations for the intermediate or topcoat.</t>
        </is>
      </c>
      <c r="F522" s="2" t="inlineStr">
        <is>
          <t>Nē</t>
        </is>
      </c>
      <c r="G522" s="2" t="n"/>
    </row>
    <row r="523">
      <c r="A523" s="2" t="inlineStr">
        <is>
          <t>150-5370-10H-P0663-018</t>
        </is>
      </c>
      <c r="B523" s="2" t="inlineStr">
        <is>
          <t>150-5370-10H.pdf</t>
        </is>
      </c>
      <c r="C523" s="2" t="n">
        <v>663</v>
      </c>
      <c r="D523" s="2" t="n">
        <v>18</v>
      </c>
      <c r="E523" s="2" t="inlineStr">
        <is>
          <t>b. Priming paint for galvanized metal surfaces shall be zinc dust-zinc oxide primer paint conforming to MIL-DTL-24441C/19B.</t>
        </is>
      </c>
      <c r="F523" s="2" t="inlineStr">
        <is>
          <t>Nē</t>
        </is>
      </c>
      <c r="G523" s="2" t="n"/>
    </row>
    <row r="524">
      <c r="A524" s="2" t="inlineStr">
        <is>
          <t>150-5370-10H-P0663-019</t>
        </is>
      </c>
      <c r="B524" s="2" t="inlineStr">
        <is>
          <t>150-5370-10H.pdf</t>
        </is>
      </c>
      <c r="C524" s="2" t="n">
        <v>663</v>
      </c>
      <c r="D524" s="2" t="n">
        <v>19</v>
      </c>
      <c r="E524" s="2" t="inlineStr">
        <is>
          <t>Use MIL-24441 thinner per paint manufacturer’s recommendations.</t>
        </is>
      </c>
      <c r="F524" s="2" t="inlineStr">
        <is>
          <t>Nē</t>
        </is>
      </c>
      <c r="G524" s="2" t="n"/>
    </row>
    <row r="525">
      <c r="A525" s="2" t="inlineStr">
        <is>
          <t>150-5370-10H-P0663-020</t>
        </is>
      </c>
      <c r="B525" s="2" t="inlineStr">
        <is>
          <t>150-5370-10H.pdf</t>
        </is>
      </c>
      <c r="C525" s="2" t="n">
        <v>663</v>
      </c>
      <c r="D525" s="2" t="n">
        <v>20</v>
      </c>
      <c r="E525" s="2" t="inlineStr">
        <is>
          <t>c. Orange paint for the body and the finish coats on metal and wood surfaces shall consist of a readymixed non-fading paint per Master Painter’s Institute (MPI) Reference #9 (gloss).</t>
        </is>
      </c>
      <c r="F525" s="2" t="inlineStr">
        <is>
          <t>Nē</t>
        </is>
      </c>
      <c r="G525" s="2" t="n"/>
    </row>
    <row r="526">
      <c r="A526" s="2" t="inlineStr">
        <is>
          <t>150-5370-10H-P0663-021</t>
        </is>
      </c>
      <c r="B526" s="2" t="inlineStr">
        <is>
          <t>150-5370-10H.pdf</t>
        </is>
      </c>
      <c r="C526" s="2" t="n">
        <v>663</v>
      </c>
      <c r="D526" s="2" t="n">
        <v>21</v>
      </c>
      <c r="E526" s="2" t="inlineStr">
        <is>
          <t>The color shall be per Federal Standards 595, International Orange, Number 12197.</t>
        </is>
      </c>
      <c r="F526" s="2" t="inlineStr">
        <is>
          <t>Nē</t>
        </is>
      </c>
      <c r="G526" s="2" t="n"/>
    </row>
    <row r="527">
      <c r="A527" s="2" t="inlineStr">
        <is>
          <t>150-5370-10H-P0663-022</t>
        </is>
      </c>
      <c r="B527" s="2" t="inlineStr">
        <is>
          <t>150-5370-10H.pdf</t>
        </is>
      </c>
      <c r="C527" s="2" t="n">
        <v>663</v>
      </c>
      <c r="D527" s="2" t="n">
        <v>22</v>
      </c>
      <c r="E527" s="2" t="inlineStr">
        <is>
          <t>d. White paint for body and finish coats on metal and wood surfaces shall be ready-mixed paint conforming to the MPI, Reference #9, Exterior Alkyd, Gloss.</t>
        </is>
      </c>
      <c r="F527" s="2" t="inlineStr">
        <is>
          <t>Nē</t>
        </is>
      </c>
      <c r="G527" s="2" t="n"/>
    </row>
    <row r="528">
      <c r="A528" s="2" t="inlineStr">
        <is>
          <t>150-5370-10H-P0663-023</t>
        </is>
      </c>
      <c r="B528" s="2" t="inlineStr">
        <is>
          <t>150-5370-10H.pdf</t>
        </is>
      </c>
      <c r="C528" s="2" t="n">
        <v>663</v>
      </c>
      <c r="D528" s="2" t="n">
        <v>23</v>
      </c>
      <c r="E528" s="2" t="inlineStr">
        <is>
          <t>e. Priming paint for wood surfaces shall be mixed on the job by thinning the above specified aviationorange or white paint by adding 1/2 pint (0.24 liter) of raw linseed oil to each gallon (liter).</t>
        </is>
      </c>
      <c r="F528" s="2" t="inlineStr">
        <is>
          <t>Nē</t>
        </is>
      </c>
      <c r="G528" s="2" t="n"/>
    </row>
    <row r="529">
      <c r="A529" s="2" t="inlineStr">
        <is>
          <t>150-5370-10H-P0663-024</t>
        </is>
      </c>
      <c r="B529" s="2" t="inlineStr">
        <is>
          <t>150-5370-10H.pdf</t>
        </is>
      </c>
      <c r="C529" s="2" t="n">
        <v>663</v>
      </c>
      <c r="D529" s="2" t="n">
        <v>24</v>
      </c>
      <c r="E529" s="2" t="inlineStr">
        <is>
          <t>Item L-107 Airport Wind Cones 655</t>
        </is>
      </c>
      <c r="F529" s="2" t="inlineStr">
        <is>
          <t>Nē</t>
        </is>
      </c>
      <c r="G529" s="2" t="n"/>
    </row>
  </sheetData>
  <autoFilter ref="A1:G529"/>
  <conditionalFormatting sqref="F2:F529">
    <cfRule type="expression" priority="1" dxfId="0">
      <formula>F2="Jā"</formula>
    </cfRule>
    <cfRule type="expression" priority="2" dxfId="1">
      <formula>F2="Nē"</formula>
    </cfRule>
    <cfRule type="expression" priority="3" dxfId="2">
      <formula>F2=""</formula>
    </cfRule>
  </conditionalFormatting>
  <dataValidations count="1">
    <dataValidation sqref="F2:F529" showDropDown="0" showInputMessage="0" showErrorMessage="0" allowBlank="1" errorTitle="SpecTakeoff" error="Izvēlies Jā, Nē vai ?" type="list">
      <formula1>"Jā,Nē,?"</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8" customWidth="1" min="1" max="1"/>
    <col width="8" customWidth="1" min="2" max="2"/>
    <col width="10" customWidth="1" min="3" max="3"/>
    <col width="12" customWidth="1" min="4" max="4"/>
    <col width="10" customWidth="1" min="5" max="5"/>
  </cols>
  <sheetData>
    <row r="1">
      <c r="A1" s="4" t="inlineStr">
        <is>
          <t>Fails</t>
        </is>
      </c>
      <c r="B1" s="4" t="inlineStr">
        <is>
          <t>Lapa</t>
        </is>
      </c>
      <c r="C1" s="4" t="inlineStr">
        <is>
          <t>Rindas</t>
        </is>
      </c>
      <c r="D1" s="4" t="inlineStr">
        <is>
          <t>Atzīmētas</t>
        </is>
      </c>
      <c r="E1" s="4" t="inlineStr">
        <is>
          <t>Gatava?</t>
        </is>
      </c>
    </row>
    <row r="2">
      <c r="A2" t="inlineStr">
        <is>
          <t>150-5370-10H.pdf</t>
        </is>
      </c>
      <c r="B2" t="n">
        <v>3</v>
      </c>
      <c r="C2">
        <f>COUNTIFS(Etalons!B:B,A2,Etalons!C:C,B2)</f>
        <v/>
      </c>
      <c r="D2">
        <f>COUNTIFS(Etalons!B:B,A2,Etalons!C:C,B2,Etalons!F:F,"&lt;&gt;")</f>
        <v/>
      </c>
      <c r="E2">
        <f>IF(D2=C2,"Jā","Nē")</f>
        <v/>
      </c>
    </row>
    <row r="3">
      <c r="A3" t="inlineStr">
        <is>
          <t>150-5370-10H.pdf</t>
        </is>
      </c>
      <c r="B3" t="n">
        <v>83</v>
      </c>
      <c r="C3">
        <f>COUNTIFS(Etalons!B:B,A3,Etalons!C:C,B3)</f>
        <v/>
      </c>
      <c r="D3">
        <f>COUNTIFS(Etalons!B:B,A3,Etalons!C:C,B3,Etalons!F:F,"&lt;&gt;")</f>
        <v/>
      </c>
      <c r="E3">
        <f>IF(D3=C3,"Jā","Nē")</f>
        <v/>
      </c>
    </row>
    <row r="4">
      <c r="A4" t="inlineStr">
        <is>
          <t>150-5370-10H.pdf</t>
        </is>
      </c>
      <c r="B4" t="n">
        <v>106</v>
      </c>
      <c r="C4">
        <f>COUNTIFS(Etalons!B:B,A4,Etalons!C:C,B4)</f>
        <v/>
      </c>
      <c r="D4">
        <f>COUNTIFS(Etalons!B:B,A4,Etalons!C:C,B4,Etalons!F:F,"&lt;&gt;")</f>
        <v/>
      </c>
      <c r="E4">
        <f>IF(D4=C4,"Jā","Nē")</f>
        <v/>
      </c>
    </row>
    <row r="5">
      <c r="A5" t="inlineStr">
        <is>
          <t>150-5370-10H.pdf</t>
        </is>
      </c>
      <c r="B5" t="n">
        <v>122</v>
      </c>
      <c r="C5">
        <f>COUNTIFS(Etalons!B:B,A5,Etalons!C:C,B5)</f>
        <v/>
      </c>
      <c r="D5">
        <f>COUNTIFS(Etalons!B:B,A5,Etalons!C:C,B5,Etalons!F:F,"&lt;&gt;")</f>
        <v/>
      </c>
      <c r="E5">
        <f>IF(D5=C5,"Jā","Nē")</f>
        <v/>
      </c>
    </row>
    <row r="6">
      <c r="A6" t="inlineStr">
        <is>
          <t>150-5370-10H.pdf</t>
        </is>
      </c>
      <c r="B6" t="n">
        <v>229</v>
      </c>
      <c r="C6">
        <f>COUNTIFS(Etalons!B:B,A6,Etalons!C:C,B6)</f>
        <v/>
      </c>
      <c r="D6">
        <f>COUNTIFS(Etalons!B:B,A6,Etalons!C:C,B6,Etalons!F:F,"&lt;&gt;")</f>
        <v/>
      </c>
      <c r="E6">
        <f>IF(D6=C6,"Jā","Nē")</f>
        <v/>
      </c>
    </row>
    <row r="7">
      <c r="A7" t="inlineStr">
        <is>
          <t>150-5370-10H.pdf</t>
        </is>
      </c>
      <c r="B7" t="n">
        <v>246</v>
      </c>
      <c r="C7">
        <f>COUNTIFS(Etalons!B:B,A7,Etalons!C:C,B7)</f>
        <v/>
      </c>
      <c r="D7">
        <f>COUNTIFS(Etalons!B:B,A7,Etalons!C:C,B7,Etalons!F:F,"&lt;&gt;")</f>
        <v/>
      </c>
      <c r="E7">
        <f>IF(D7=C7,"Jā","Nē")</f>
        <v/>
      </c>
    </row>
    <row r="8">
      <c r="A8" t="inlineStr">
        <is>
          <t>150-5370-10H.pdf</t>
        </is>
      </c>
      <c r="B8" t="n">
        <v>328</v>
      </c>
      <c r="C8">
        <f>COUNTIFS(Etalons!B:B,A8,Etalons!C:C,B8)</f>
        <v/>
      </c>
      <c r="D8">
        <f>COUNTIFS(Etalons!B:B,A8,Etalons!C:C,B8,Etalons!F:F,"&lt;&gt;")</f>
        <v/>
      </c>
      <c r="E8">
        <f>IF(D8=C8,"Jā","Nē")</f>
        <v/>
      </c>
    </row>
    <row r="9">
      <c r="A9" t="inlineStr">
        <is>
          <t>150-5370-10H.pdf</t>
        </is>
      </c>
      <c r="B9" t="n">
        <v>431</v>
      </c>
      <c r="C9">
        <f>COUNTIFS(Etalons!B:B,A9,Etalons!C:C,B9)</f>
        <v/>
      </c>
      <c r="D9">
        <f>COUNTIFS(Etalons!B:B,A9,Etalons!C:C,B9,Etalons!F:F,"&lt;&gt;")</f>
        <v/>
      </c>
      <c r="E9">
        <f>IF(D9=C9,"Jā","Nē")</f>
        <v/>
      </c>
    </row>
    <row r="10">
      <c r="A10" t="inlineStr">
        <is>
          <t>150-5370-10H.pdf</t>
        </is>
      </c>
      <c r="B10" t="n">
        <v>452</v>
      </c>
      <c r="C10">
        <f>COUNTIFS(Etalons!B:B,A10,Etalons!C:C,B10)</f>
        <v/>
      </c>
      <c r="D10">
        <f>COUNTIFS(Etalons!B:B,A10,Etalons!C:C,B10,Etalons!F:F,"&lt;&gt;")</f>
        <v/>
      </c>
      <c r="E10">
        <f>IF(D10=C10,"Jā","Nē")</f>
        <v/>
      </c>
    </row>
    <row r="11">
      <c r="A11" t="inlineStr">
        <is>
          <t>150-5370-10H.pdf</t>
        </is>
      </c>
      <c r="B11" t="n">
        <v>503</v>
      </c>
      <c r="C11">
        <f>COUNTIFS(Etalons!B:B,A11,Etalons!C:C,B11)</f>
        <v/>
      </c>
      <c r="D11">
        <f>COUNTIFS(Etalons!B:B,A11,Etalons!C:C,B11,Etalons!F:F,"&lt;&gt;")</f>
        <v/>
      </c>
      <c r="E11">
        <f>IF(D11=C11,"Jā","Nē")</f>
        <v/>
      </c>
    </row>
    <row r="12">
      <c r="A12" t="inlineStr">
        <is>
          <t>150-5370-10H.pdf</t>
        </is>
      </c>
      <c r="B12" t="n">
        <v>515</v>
      </c>
      <c r="C12">
        <f>COUNTIFS(Etalons!B:B,A12,Etalons!C:C,B12)</f>
        <v/>
      </c>
      <c r="D12">
        <f>COUNTIFS(Etalons!B:B,A12,Etalons!C:C,B12,Etalons!F:F,"&lt;&gt;")</f>
        <v/>
      </c>
      <c r="E12">
        <f>IF(D12=C12,"Jā","Nē")</f>
        <v/>
      </c>
    </row>
    <row r="13">
      <c r="A13" t="inlineStr">
        <is>
          <t>150-5370-10H.pdf</t>
        </is>
      </c>
      <c r="B13" t="n">
        <v>525</v>
      </c>
      <c r="C13">
        <f>COUNTIFS(Etalons!B:B,A13,Etalons!C:C,B13)</f>
        <v/>
      </c>
      <c r="D13">
        <f>COUNTIFS(Etalons!B:B,A13,Etalons!C:C,B13,Etalons!F:F,"&lt;&gt;")</f>
        <v/>
      </c>
      <c r="E13">
        <f>IF(D13=C13,"Jā","Nē")</f>
        <v/>
      </c>
    </row>
    <row r="14">
      <c r="A14" t="inlineStr">
        <is>
          <t>150-5370-10H.pdf</t>
        </is>
      </c>
      <c r="B14" t="n">
        <v>561</v>
      </c>
      <c r="C14">
        <f>COUNTIFS(Etalons!B:B,A14,Etalons!C:C,B14)</f>
        <v/>
      </c>
      <c r="D14">
        <f>COUNTIFS(Etalons!B:B,A14,Etalons!C:C,B14,Etalons!F:F,"&lt;&gt;")</f>
        <v/>
      </c>
      <c r="E14">
        <f>IF(D14=C14,"Jā","Nē")</f>
        <v/>
      </c>
    </row>
    <row r="15">
      <c r="A15" t="inlineStr">
        <is>
          <t>150-5370-10H.pdf</t>
        </is>
      </c>
      <c r="B15" t="n">
        <v>570</v>
      </c>
      <c r="C15">
        <f>COUNTIFS(Etalons!B:B,A15,Etalons!C:C,B15)</f>
        <v/>
      </c>
      <c r="D15">
        <f>COUNTIFS(Etalons!B:B,A15,Etalons!C:C,B15,Etalons!F:F,"&lt;&gt;")</f>
        <v/>
      </c>
      <c r="E15">
        <f>IF(D15=C15,"Jā","Nē")</f>
        <v/>
      </c>
    </row>
    <row r="16">
      <c r="A16" t="inlineStr">
        <is>
          <t>150-5370-10H.pdf</t>
        </is>
      </c>
      <c r="B16" t="n">
        <v>587</v>
      </c>
      <c r="C16">
        <f>COUNTIFS(Etalons!B:B,A16,Etalons!C:C,B16)</f>
        <v/>
      </c>
      <c r="D16">
        <f>COUNTIFS(Etalons!B:B,A16,Etalons!C:C,B16,Etalons!F:F,"&lt;&gt;")</f>
        <v/>
      </c>
      <c r="E16">
        <f>IF(D16=C16,"Jā","Nē")</f>
        <v/>
      </c>
    </row>
    <row r="17">
      <c r="A17" t="inlineStr">
        <is>
          <t>150-5370-10H.pdf</t>
        </is>
      </c>
      <c r="B17" t="n">
        <v>601</v>
      </c>
      <c r="C17">
        <f>COUNTIFS(Etalons!B:B,A17,Etalons!C:C,B17)</f>
        <v/>
      </c>
      <c r="D17">
        <f>COUNTIFS(Etalons!B:B,A17,Etalons!C:C,B17,Etalons!F:F,"&lt;&gt;")</f>
        <v/>
      </c>
      <c r="E17">
        <f>IF(D17=C17,"Jā","Nē")</f>
        <v/>
      </c>
    </row>
    <row r="18">
      <c r="A18" t="inlineStr">
        <is>
          <t>150-5370-10H.pdf</t>
        </is>
      </c>
      <c r="B18" t="n">
        <v>616</v>
      </c>
      <c r="C18">
        <f>COUNTIFS(Etalons!B:B,A18,Etalons!C:C,B18)</f>
        <v/>
      </c>
      <c r="D18">
        <f>COUNTIFS(Etalons!B:B,A18,Etalons!C:C,B18,Etalons!F:F,"&lt;&gt;")</f>
        <v/>
      </c>
      <c r="E18">
        <f>IF(D18=C18,"Jā","Nē")</f>
        <v/>
      </c>
    </row>
    <row r="19">
      <c r="A19" t="inlineStr">
        <is>
          <t>150-5370-10H.pdf</t>
        </is>
      </c>
      <c r="B19" t="n">
        <v>629</v>
      </c>
      <c r="C19">
        <f>COUNTIFS(Etalons!B:B,A19,Etalons!C:C,B19)</f>
        <v/>
      </c>
      <c r="D19">
        <f>COUNTIFS(Etalons!B:B,A19,Etalons!C:C,B19,Etalons!F:F,"&lt;&gt;")</f>
        <v/>
      </c>
      <c r="E19">
        <f>IF(D19=C19,"Jā","Nē")</f>
        <v/>
      </c>
    </row>
    <row r="20">
      <c r="A20" t="inlineStr">
        <is>
          <t>150-5370-10H.pdf</t>
        </is>
      </c>
      <c r="B20" t="n">
        <v>637</v>
      </c>
      <c r="C20">
        <f>COUNTIFS(Etalons!B:B,A20,Etalons!C:C,B20)</f>
        <v/>
      </c>
      <c r="D20">
        <f>COUNTIFS(Etalons!B:B,A20,Etalons!C:C,B20,Etalons!F:F,"&lt;&gt;")</f>
        <v/>
      </c>
      <c r="E20">
        <f>IF(D20=C20,"Jā","Nē")</f>
        <v/>
      </c>
    </row>
    <row r="21">
      <c r="A21" t="inlineStr">
        <is>
          <t>150-5370-10H.pdf</t>
        </is>
      </c>
      <c r="B21" t="n">
        <v>663</v>
      </c>
      <c r="C21">
        <f>COUNTIFS(Etalons!B:B,A21,Etalons!C:C,B21)</f>
        <v/>
      </c>
      <c r="D21">
        <f>COUNTIFS(Etalons!B:B,A21,Etalons!C:C,B21,Etalons!F:F,"&lt;&gt;")</f>
        <v/>
      </c>
      <c r="E21">
        <f>IF(D21=C21,"Jā","Nē")</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{"tool_version": "4.0.0", "seed": 2026, "sample": 20, "pages_spec": "", "show_predictions": false, "sources": [{"name": "150-5370-10H.pdf", "path": "/tmp/claude-0/-home-user-workflows-starter-template/02873300-0aa4-5b5a-a8bb-9cae7051367b/scratchpad/etalons_faa/150-5370-10H.pdf", "sha256": "5b573a0979564a49bc052c2c84cc774218155b691e4511722aeb42969bededef"}], "pages": [{"source": "150-5370-10H.pdf", "page": 3}, {"source": "150-5370-10H.pdf", "page": 83}, {"source": "150-5370-10H.pdf", "page": 106}, {"source": "150-5370-10H.pdf", "page": 122}, {"source": "150-5370-10H.pdf", "page": 229}, {"source": "150-5370-10H.pdf", "page": 246}, {"source": "150-5370-10H.pdf", "page": 328}, {"source": "150-5370-10H.pdf", "page": 431}, {"source": "150-5370-10H.pdf", "page": 452}, {"source": "150-5370-10H.pdf", "page": 503}, {"source": "150-5370-10H.pdf", "page": 515}, {"source": "150-5370-10H.pdf", "page": 525}, {"source": "150-5370-10H.pdf", "page": 561}, {"source": "150-5370-10H.pdf", "page": 570}, {"source": "150-5370-10H.pdf", "page": 587}, {"source": "150-5370-10H.pdf", "page": 601}, {"source": "150-5370-10H.pdf", "page": 616}, {"source": "150-5370-10H.pdf", "page": 629}, {"source": "150-5370-10H.pdf", "page": 637}, {"source": "150-5370-10H.pdf", "page": 663}]}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2026-10-15T22:53:07Z</dcterms:created>
  <dcterms:modified xmlns:dcterms="http://purl.org/dc/terms/" xmlns:xsi="http://www.w3.org/2001/XMLSchema-instance" xsi:type="dcterms:W3CDTF">2026-10-16T01:27:35Z</dcterms:modified>
</cp:coreProperties>
</file>