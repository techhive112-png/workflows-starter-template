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ija" sheetId="1" state="visible" r:id="rId1"/>
    <sheet xmlns:r="http://schemas.openxmlformats.org/officeDocument/2006/relationships" name="Etalons" sheetId="2" state="visible" r:id="rId2"/>
    <sheet xmlns:r="http://schemas.openxmlformats.org/officeDocument/2006/relationships" name="Lapas" sheetId="3" state="visible" r:id="rId3"/>
    <sheet xmlns:r="http://schemas.openxmlformats.org/officeDocument/2006/relationships" name="_meta" sheetId="4" state="hidden" r:id="rId4"/>
  </sheets>
  <definedNames>
    <definedName name="_xlnm._FilterDatabase" localSheetId="1" hidden="1">'Etalons'!$A$1:$G$335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1" t="inlineStr">
        <is>
          <t>Tēma</t>
        </is>
      </c>
      <c r="B1" s="1" t="inlineStr">
        <is>
          <t>Apraksts</t>
        </is>
      </c>
    </row>
    <row r="2">
      <c r="A2" s="2" t="inlineStr">
        <is>
          <t>Mērķis</t>
        </is>
      </c>
      <c r="B2" s="2" t="inlineStr">
        <is>
          <t>Atzīmē KATRU rindu šajās lapās: vai tā ir nodošanas / closeout prasība? Tad `spectakeoff eval` izmērīs, ko programma atrod pareizi, ko kļūdaini un ko palaiž garām.</t>
        </is>
      </c>
    </row>
    <row r="3">
      <c r="A3" s="2" t="inlineStr">
        <is>
          <t>Kā aizpildīt</t>
        </is>
      </c>
      <c r="B3" s="2" t="inlineStr">
        <is>
          <t>Kolonnā F izvēlies Jā vai Nē (vai ? ja tiešām nav skaidrs - tādas rindas netiek vērtētas). Atver PDF norādītajā lapā, ja teksts nav saprotams bez konteksta.</t>
        </is>
      </c>
    </row>
    <row r="4">
      <c r="A4" s="2" t="inlineStr">
        <is>
          <t>Jā</t>
        </is>
      </c>
      <c r="B4" s="2" t="inlineStr">
        <is>
          <t>Teikums vai saraksta punkts uzliek darbuzņēmējam pienākumu NODOT vai IESNIEGT kaut ko nodošanai/closeout: garantija, O&amp;M rokasgrāmatas, izpilddokumentācija (as-built / record drawings), rezerves daļas, papildu materiāli (attic stock), speciālie instrumenti, apmācība, testu atskaites, sertifikāti un atbilstības apliecinājumi, iesniegumu saraksta punkti (piem. UFGS SD-06/07/09/10/11).</t>
        </is>
      </c>
    </row>
    <row r="5">
      <c r="A5" s="2" t="inlineStr">
        <is>
          <t>Nē</t>
        </is>
      </c>
      <c r="B5" s="2" t="inlineStr">
        <is>
          <t>Būvdarbu metodes, materiālu īpašības, juridiski skaidrojumi ('shall not relieve...'), redaktora piezīmes (NOTE:, 'The Engineer shall...'), virsraksti, lapu galvenes, atsauces uz citām sadaļām, uzstādīšana 'saskaņā ar ražotāja instrukcijām'.</t>
        </is>
      </c>
    </row>
    <row r="6">
      <c r="A6" s="2" t="inlineStr">
        <is>
          <t>Piemērs Jā</t>
        </is>
      </c>
      <c r="B6" s="2" t="inlineStr">
        <is>
          <t>Provide two (2) copies of all manufacturers warranties specified for materials.</t>
        </is>
      </c>
    </row>
    <row r="7">
      <c r="A7" s="2" t="inlineStr">
        <is>
          <t>Piemērs Jā</t>
        </is>
      </c>
      <c r="B7" s="2" t="inlineStr">
        <is>
          <t>Operation and Maintenance Manuals; G, [_____]   (punkts zem SD-10)</t>
        </is>
      </c>
    </row>
    <row r="8">
      <c r="A8" s="2" t="inlineStr">
        <is>
          <t>Piemērs Nē</t>
        </is>
      </c>
      <c r="B8" s="2" t="inlineStr">
        <is>
          <t>Air-entraining admixtures shall meet the requirements of ASTM C260.</t>
        </is>
      </c>
    </row>
    <row r="9">
      <c r="A9" s="2" t="inlineStr">
        <is>
          <t>Piemērs Nē</t>
        </is>
      </c>
      <c r="B9" s="2" t="inlineStr">
        <is>
          <t>Manufacturer's certifications shall not relieve the Contractor of the responsibility...</t>
        </is>
      </c>
    </row>
    <row r="10">
      <c r="A10" s="2" t="inlineStr">
        <is>
          <t>Svarīgi</t>
        </is>
      </c>
      <c r="B10" s="2" t="inlineStr">
        <is>
          <t>Neskaties, ko atrada programma, pirms neesi atzīmējis pats - citādi mērījums būs neobjektīvs. Ja failā ir kolonna 'Programma atrada', to var paslēpt.</t>
        </is>
      </c>
    </row>
    <row r="11">
      <c r="A11" s="2" t="inlineStr">
        <is>
          <t>Pēc tam</t>
        </is>
      </c>
      <c r="B11" s="2" t="inlineStr">
        <is>
          <t>Saglabā failu un palaid:  spectakeoff eval etalons.xlsx   (programma pati atkārtoti apstrādās tos pašus PDF un salīdzinās). Lapas, kur kaut viena rinda nav atzīmēta, netiek vērtētas.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7" customWidth="1" min="3" max="3"/>
    <col width="8" customWidth="1" min="4" max="4"/>
    <col width="90" customWidth="1" min="5" max="5"/>
    <col width="16" customWidth="1" min="6" max="6"/>
    <col width="30" customWidth="1" min="7" max="7"/>
    <col width="14" customWidth="1" min="8" max="8"/>
  </cols>
  <sheetData>
    <row r="1">
      <c r="A1" s="3" t="inlineStr">
        <is>
          <t>ID</t>
        </is>
      </c>
      <c r="B1" s="3" t="inlineStr">
        <is>
          <t>Fails</t>
        </is>
      </c>
      <c r="C1" s="3" t="inlineStr">
        <is>
          <t>Lapa</t>
        </is>
      </c>
      <c r="D1" s="3" t="inlineStr">
        <is>
          <t>Nr. lapā</t>
        </is>
      </c>
      <c r="E1" s="3" t="inlineStr">
        <is>
          <t>Teksts (oriģināls)</t>
        </is>
      </c>
      <c r="F1" s="3" t="inlineStr">
        <is>
          <t>Prasība? (Jā/Nē)</t>
        </is>
      </c>
      <c r="G1" s="3" t="inlineStr">
        <is>
          <t>Piezīme</t>
        </is>
      </c>
    </row>
    <row r="2">
      <c r="A2" s="2" t="inlineStr">
        <is>
          <t>UFGS_09_90_0-P0008-001</t>
        </is>
      </c>
      <c r="B2" s="2" t="inlineStr">
        <is>
          <t>UFGS_09_90_00.pdf</t>
        </is>
      </c>
      <c r="C2" s="2" t="n">
        <v>8</v>
      </c>
      <c r="D2" s="2" t="n">
        <v>1</v>
      </c>
      <c r="E2" s="2" t="inlineStr">
        <is>
          <t>(1) Exposed piping, conduit, and ductwork;</t>
        </is>
      </c>
      <c r="F2" s="2" t="inlineStr">
        <is>
          <t>Nē</t>
        </is>
      </c>
      <c r="G2" s="2" t="n"/>
    </row>
    <row r="3">
      <c r="A3" s="2" t="inlineStr">
        <is>
          <t>UFGS_09_90_0-P0008-002</t>
        </is>
      </c>
      <c r="B3" s="2" t="inlineStr">
        <is>
          <t>UFGS_09_90_00.pdf</t>
        </is>
      </c>
      <c r="C3" s="2" t="n">
        <v>8</v>
      </c>
      <c r="D3" s="2" t="n">
        <v>2</v>
      </c>
      <c r="E3" s="2" t="inlineStr">
        <is>
          <t>(2) Supports, hangers, air grilles, and registers;</t>
        </is>
      </c>
      <c r="F3" s="2" t="inlineStr">
        <is>
          <t>Nē</t>
        </is>
      </c>
      <c r="G3" s="2" t="n"/>
    </row>
    <row r="4">
      <c r="A4" s="2" t="inlineStr">
        <is>
          <t>UFGS_09_90_0-P0008-003</t>
        </is>
      </c>
      <c r="B4" s="2" t="inlineStr">
        <is>
          <t>UFGS_09_90_00.pdf</t>
        </is>
      </c>
      <c r="C4" s="2" t="n">
        <v>8</v>
      </c>
      <c r="D4" s="2" t="n">
        <v>3</v>
      </c>
      <c r="E4" s="2" t="inlineStr">
        <is>
          <t>(3) Miscellaneous metalwork and insulation coverings. [ b.</t>
        </is>
      </c>
      <c r="F4" s="2" t="inlineStr">
        <is>
          <t>Nē</t>
        </is>
      </c>
      <c r="G4" s="2" t="n"/>
    </row>
    <row r="5">
      <c r="A5" s="2" t="inlineStr">
        <is>
          <t>UFGS_09_90_0-P0008-004</t>
        </is>
      </c>
      <c r="B5" s="2" t="inlineStr">
        <is>
          <t>UFGS_09_90_00.pdf</t>
        </is>
      </c>
      <c r="C5" s="2" t="n">
        <v>8</v>
      </c>
      <c r="D5" s="2" t="n">
        <v>4</v>
      </c>
      <c r="E5" s="2" t="inlineStr">
        <is>
          <t>Do not paint the following, unless indicated otherwise:</t>
        </is>
      </c>
      <c r="F5" s="2" t="inlineStr">
        <is>
          <t>Nē</t>
        </is>
      </c>
      <c r="G5" s="2" t="n"/>
    </row>
    <row r="6">
      <c r="A6" s="2" t="inlineStr">
        <is>
          <t>UFGS_09_90_0-P0008-005</t>
        </is>
      </c>
      <c r="B6" s="2" t="inlineStr">
        <is>
          <t>UFGS_09_90_00.pdf</t>
        </is>
      </c>
      <c r="C6" s="2" t="n">
        <v>8</v>
      </c>
      <c r="D6" s="2" t="n">
        <v>5</v>
      </c>
      <c r="E6" s="2" t="inlineStr">
        <is>
          <t>[ (1) New zinc-coated, aluminum, and copper surfaces under insulation</t>
        </is>
      </c>
      <c r="F6" s="2" t="inlineStr">
        <is>
          <t>Nē</t>
        </is>
      </c>
      <c r="G6" s="2" t="n"/>
    </row>
    <row r="7">
      <c r="A7" s="2" t="inlineStr">
        <is>
          <t>UFGS_09_90_0-P0008-006</t>
        </is>
      </c>
      <c r="B7" s="2" t="inlineStr">
        <is>
          <t>UFGS_09_90_00.pdf</t>
        </is>
      </c>
      <c r="C7" s="2" t="n">
        <v>8</v>
      </c>
      <c r="D7" s="2" t="n">
        <v>6</v>
      </c>
      <c r="E7" s="2" t="inlineStr">
        <is>
          <t>][ (2) New aluminum jacket on piping</t>
        </is>
      </c>
      <c r="F7" s="2" t="inlineStr">
        <is>
          <t>Nē</t>
        </is>
      </c>
      <c r="G7" s="2" t="n"/>
    </row>
    <row r="8">
      <c r="A8" s="2" t="inlineStr">
        <is>
          <t>UFGS_09_90_0-P0008-007</t>
        </is>
      </c>
      <c r="B8" s="2" t="inlineStr">
        <is>
          <t>UFGS_09_90_00.pdf</t>
        </is>
      </c>
      <c r="C8" s="2" t="n">
        <v>8</v>
      </c>
      <c r="D8" s="2" t="n">
        <v>7</v>
      </c>
      <c r="E8" s="2" t="inlineStr">
        <is>
          <t>][ (3) New interior ferrous piping under insulation.</t>
        </is>
      </c>
      <c r="F8" s="2" t="inlineStr">
        <is>
          <t>Nē</t>
        </is>
      </c>
      <c r="G8" s="2" t="n"/>
    </row>
    <row r="9">
      <c r="A9" s="2" t="inlineStr">
        <is>
          <t>UFGS_09_90_0-P0008-008</t>
        </is>
      </c>
      <c r="B9" s="2" t="inlineStr">
        <is>
          <t>UFGS_09_90_00.pdf</t>
        </is>
      </c>
      <c r="C9" s="2" t="n">
        <v>8</v>
      </c>
      <c r="D9" s="2" t="n">
        <v>8</v>
      </c>
      <c r="E9" s="2" t="inlineStr">
        <is>
          <t>]][1.2.3.1 Fire Extinguishing Sprinkler Systems</t>
        </is>
      </c>
      <c r="F9" s="2" t="inlineStr">
        <is>
          <t>Nē</t>
        </is>
      </c>
      <c r="G9" s="2" t="n"/>
    </row>
    <row r="10">
      <c r="A10" s="2" t="inlineStr">
        <is>
          <t>UFGS_09_90_0-P0008-009</t>
        </is>
      </c>
      <c r="B10" s="2" t="inlineStr">
        <is>
          <t>UFGS_09_90_00.pdf</t>
        </is>
      </c>
      <c r="C10" s="2" t="n">
        <v>8</v>
      </c>
      <c r="D10" s="2" t="n">
        <v>9</v>
      </c>
      <c r="E10" s="2" t="inlineStr">
        <is>
          <t>Clean, pretreat, prime, and paint new fire extinguishing sprinkler systems including valves, piping,[ and] conduit[, hangers, supports, miscellaneous metalwork, and accessories].</t>
        </is>
      </c>
      <c r="F10" s="2" t="inlineStr">
        <is>
          <t>Nē</t>
        </is>
      </c>
      <c r="G10" s="2" t="n"/>
    </row>
    <row r="11">
      <c r="A11" s="2" t="inlineStr">
        <is>
          <t>UFGS_09_90_0-P0008-010</t>
        </is>
      </c>
      <c r="B11" s="2" t="inlineStr">
        <is>
          <t>UFGS_09_90_00.pdf</t>
        </is>
      </c>
      <c r="C11" s="2" t="n">
        <v>8</v>
      </c>
      <c r="D11" s="2" t="n">
        <v>10</v>
      </c>
      <c r="E11" s="2" t="inlineStr">
        <is>
          <t>Apply coatings to clean, dry surfaces, using clean brushes.</t>
        </is>
      </c>
      <c r="F11" s="2" t="inlineStr">
        <is>
          <t>Nē</t>
        </is>
      </c>
      <c r="G11" s="2" t="n"/>
    </row>
    <row r="12">
      <c r="A12" s="2" t="inlineStr">
        <is>
          <t>UFGS_09_90_0-P0008-011</t>
        </is>
      </c>
      <c r="B12" s="2" t="inlineStr">
        <is>
          <t>UFGS_09_90_00.pdf</t>
        </is>
      </c>
      <c r="C12" s="2" t="n">
        <v>8</v>
      </c>
      <c r="D12" s="2" t="n">
        <v>11</v>
      </c>
      <c r="E12" s="2" t="inlineStr">
        <is>
          <t>][1.2.4 Exterior Painting of Site Work Items</t>
        </is>
      </c>
      <c r="F12" s="2" t="inlineStr">
        <is>
          <t>Nē</t>
        </is>
      </c>
      <c r="G12" s="2" t="n"/>
    </row>
    <row r="13">
      <c r="A13" s="2" t="inlineStr">
        <is>
          <t>UFGS_09_90_0-P0008-012</t>
        </is>
      </c>
      <c r="B13" s="2" t="inlineStr">
        <is>
          <t>UFGS_09_90_00.pdf</t>
        </is>
      </c>
      <c r="C13" s="2" t="n">
        <v>8</v>
      </c>
      <c r="D13" s="2" t="n">
        <v>12</v>
      </c>
      <c r="E13" s="2" t="inlineStr">
        <is>
          <t>NOTE: The following paragraph is tailored for inclusion in projects with exterior painting.</t>
        </is>
      </c>
      <c r="F13" s="2" t="inlineStr">
        <is>
          <t>Nē</t>
        </is>
      </c>
      <c r="G13" s="2" t="n"/>
    </row>
    <row r="14">
      <c r="A14" s="2" t="inlineStr">
        <is>
          <t>UFGS_09_90_0-P0008-013</t>
        </is>
      </c>
      <c r="B14" s="2" t="inlineStr">
        <is>
          <t>UFGS_09_90_00.pdf</t>
        </is>
      </c>
      <c r="C14" s="2" t="n">
        <v>8</v>
      </c>
      <c r="D14" s="2" t="n">
        <v>13</v>
      </c>
      <c r="E14" s="2" t="inlineStr">
        <is>
          <t>Insert list of Site Work Items to be painted in table below, such as hand rails, fire extinguishing systems, doors.</t>
        </is>
      </c>
      <c r="F14" s="2" t="inlineStr">
        <is>
          <t>Nē</t>
        </is>
      </c>
      <c r="G14" s="2" t="n"/>
    </row>
    <row r="15">
      <c r="A15" s="2" t="inlineStr">
        <is>
          <t>UFGS_09_90_0-P0008-014</t>
        </is>
      </c>
      <c r="B15" s="2" t="inlineStr">
        <is>
          <t>UFGS_09_90_00.pdf</t>
        </is>
      </c>
      <c r="C15" s="2" t="n">
        <v>8</v>
      </c>
      <c r="D15" s="2" t="n">
        <v>14</v>
      </c>
      <c r="E15" s="2" t="inlineStr">
        <is>
          <t>Field coat the following items:</t>
        </is>
      </c>
      <c r="F15" s="2" t="inlineStr">
        <is>
          <t>Nē</t>
        </is>
      </c>
      <c r="G15" s="2" t="n"/>
    </row>
    <row r="16">
      <c r="A16" s="2" t="inlineStr">
        <is>
          <t>UFGS_09_90_0-P0008-015</t>
        </is>
      </c>
      <c r="B16" s="2" t="inlineStr">
        <is>
          <t>UFGS_09_90_00.pdf</t>
        </is>
      </c>
      <c r="C16" s="2" t="n">
        <v>8</v>
      </c>
      <c r="D16" s="2" t="n">
        <v>15</v>
      </c>
      <c r="E16" s="2" t="inlineStr">
        <is>
          <t>New Surfaces Existing Surfaces</t>
        </is>
      </c>
      <c r="F16" s="2" t="inlineStr">
        <is>
          <t>Nē</t>
        </is>
      </c>
      <c r="G16" s="2" t="n"/>
    </row>
    <row r="17">
      <c r="A17" s="2" t="inlineStr">
        <is>
          <t>UFGS_09_90_0-P0008-016</t>
        </is>
      </c>
      <c r="B17" s="2" t="inlineStr">
        <is>
          <t>UFGS_09_90_00.pdf</t>
        </is>
      </c>
      <c r="C17" s="2" t="n">
        <v>8</v>
      </c>
      <c r="D17" s="2" t="n">
        <v>16</v>
      </c>
      <c r="E17" s="2" t="inlineStr">
        <is>
          <t>c. ]1.2.5 Miscellaneous Painting</t>
        </is>
      </c>
      <c r="F17" s="2" t="inlineStr">
        <is>
          <t>Nē</t>
        </is>
      </c>
      <c r="G17" s="2" t="n"/>
    </row>
    <row r="18">
      <c r="A18" s="2" t="inlineStr">
        <is>
          <t>UFGS_09_90_0-P0008-017</t>
        </is>
      </c>
      <c r="B18" s="2" t="inlineStr">
        <is>
          <t>UFGS_09_90_00.pdf</t>
        </is>
      </c>
      <c r="C18" s="2" t="n">
        <v>8</v>
      </c>
      <c r="D18" s="2" t="n">
        <v>17</v>
      </c>
      <c r="E18" s="2" t="inlineStr">
        <is>
          <t>1.2.5.1 Lettering [Building ][Room Number(s)]</t>
        </is>
      </c>
      <c r="F18" s="2" t="inlineStr">
        <is>
          <t>Nē</t>
        </is>
      </c>
      <c r="G18" s="2" t="n"/>
    </row>
    <row r="19">
      <c r="A19" s="2" t="inlineStr">
        <is>
          <t>UFGS_09_90_0-P0008-018</t>
        </is>
      </c>
      <c r="B19" s="2" t="inlineStr">
        <is>
          <t>UFGS_09_90_00.pdf</t>
        </is>
      </c>
      <c r="C19" s="2" t="n">
        <v>8</v>
      </c>
      <c r="D19" s="2" t="n">
        <v>18</v>
      </c>
      <c r="E19" s="2" t="inlineStr">
        <is>
          <t>Provide lettering[ as scheduled on the drawings][ block][ Gothic] type,[ black enamel][ water-type decalcomania, finished with a protective coating of spar varnish].</t>
        </is>
      </c>
      <c r="F19" s="2" t="inlineStr">
        <is>
          <t>Nē</t>
        </is>
      </c>
      <c r="G19" s="2" t="n"/>
    </row>
    <row r="20">
      <c r="A20" s="2" t="inlineStr">
        <is>
          <t>UFGS_09_90_0-P0008-019</t>
        </is>
      </c>
      <c r="B20" s="2" t="inlineStr">
        <is>
          <t>UFGS_09_90_00.pdf</t>
        </is>
      </c>
      <c r="C20" s="2" t="n">
        <v>8</v>
      </c>
      <c r="D20" s="2" t="n">
        <v>19</v>
      </c>
      <c r="E20" s="2" t="inlineStr">
        <is>
          <t>Samples must be approved before application.</t>
        </is>
      </c>
      <c r="F20" s="2" t="inlineStr">
        <is>
          <t>Nē</t>
        </is>
      </c>
      <c r="G20" s="2" t="n"/>
    </row>
    <row r="21">
      <c r="A21" s="2" t="inlineStr">
        <is>
          <t>UFGS_09_90_0-P0008-020</t>
        </is>
      </c>
      <c r="B21" s="2" t="inlineStr">
        <is>
          <t>UFGS_09_90_00.pdf</t>
        </is>
      </c>
      <c r="C21" s="2" t="n">
        <v>8</v>
      </c>
      <c r="D21" s="2" t="n">
        <v>20</v>
      </c>
      <c r="E21" s="2" t="inlineStr">
        <is>
          <t>[1.2.5.2 Obstructions To Aviation</t>
        </is>
      </c>
      <c r="F21" s="2" t="inlineStr">
        <is>
          <t>Nē</t>
        </is>
      </c>
      <c r="G21" s="2" t="n"/>
    </row>
    <row r="22">
      <c r="A22" s="2" t="inlineStr">
        <is>
          <t>UFGS_09_90_0-P0008-021</t>
        </is>
      </c>
      <c r="B22" s="2" t="inlineStr">
        <is>
          <t>UFGS_09_90_00.pdf</t>
        </is>
      </c>
      <c r="C22" s="2" t="n">
        <v>8</v>
      </c>
      <c r="D22" s="2" t="n">
        <v>21</v>
      </c>
      <c r="E22" s="2" t="inlineStr">
        <is>
          <t>NOTE: Specify by name structures such as smokestacks, poles, and buildings which have been identified as obstruction to aviation.</t>
        </is>
      </c>
      <c r="F22" s="2" t="inlineStr">
        <is>
          <t>Nē</t>
        </is>
      </c>
      <c r="G22" s="2" t="n"/>
    </row>
    <row r="23">
      <c r="A23" s="2" t="inlineStr">
        <is>
          <t>UFGS_09_90_0-P0008-022</t>
        </is>
      </c>
      <c r="B23" s="2" t="inlineStr">
        <is>
          <t>UFGS_09_90_00.pdf</t>
        </is>
      </c>
      <c r="C23" s="2" t="n">
        <v>8</v>
      </c>
      <c r="D23" s="2" t="n">
        <v>22</v>
      </c>
      <c r="E23" s="2" t="inlineStr">
        <is>
          <t>Verify that the structures so identified are not specified to be painted in the sections specifying the structures so</t>
        </is>
      </c>
      <c r="F23" s="2" t="inlineStr">
        <is>
          <t>Nē</t>
        </is>
      </c>
      <c r="G23" s="2" t="n"/>
    </row>
    <row r="24">
      <c r="A24" s="2" t="inlineStr">
        <is>
          <t>UFGS_09_90_0-P0008-023</t>
        </is>
      </c>
      <c r="B24" s="2" t="inlineStr">
        <is>
          <t>UFGS_09_90_00.pdf</t>
        </is>
      </c>
      <c r="C24" s="2" t="n">
        <v>8</v>
      </c>
      <c r="D24" s="2" t="n">
        <v>23</v>
      </c>
      <c r="E24" s="2" t="inlineStr">
        <is>
          <t>SECTION 09 90 00 Page 8</t>
        </is>
      </c>
      <c r="F24" s="2" t="inlineStr">
        <is>
          <t>Nē</t>
        </is>
      </c>
      <c r="G24" s="2" t="n"/>
    </row>
    <row r="25">
      <c r="A25" s="2" t="inlineStr">
        <is>
          <t>UFGS_09_90_0-P0017-001</t>
        </is>
      </c>
      <c r="B25" s="2" t="inlineStr">
        <is>
          <t>UFGS_09_90_00.pdf</t>
        </is>
      </c>
      <c r="C25" s="2" t="n">
        <v>17</v>
      </c>
      <c r="D25" s="2" t="n">
        <v>1</v>
      </c>
      <c r="E25" s="2" t="inlineStr">
        <is>
          <t>NOTE: The following definition is tailored for inclusion in projects with interior painting.</t>
        </is>
      </c>
      <c r="F25" s="2" t="inlineStr">
        <is>
          <t>Nē</t>
        </is>
      </c>
      <c r="G25" s="2" t="n"/>
    </row>
    <row r="26">
      <c r="A26" s="2" t="inlineStr">
        <is>
          <t>UFGS_09_90_0-P0017-002</t>
        </is>
      </c>
      <c r="B26" s="2" t="inlineStr">
        <is>
          <t>UFGS_09_90_00.pdf</t>
        </is>
      </c>
      <c r="C26" s="2" t="n">
        <v>17</v>
      </c>
      <c r="D26" s="2" t="n">
        <v>2</v>
      </c>
      <c r="E26" s="2" t="inlineStr">
        <is>
          <t>j. RIN - MPI short term designation for an interior coating system used in repainting projects or over existing coating systems.</t>
        </is>
      </c>
      <c r="F26" s="2" t="inlineStr">
        <is>
          <t>Nē</t>
        </is>
      </c>
      <c r="G26" s="2" t="n"/>
    </row>
    <row r="27">
      <c r="A27" s="2" t="inlineStr">
        <is>
          <t>UFGS_09_90_0-P0017-003</t>
        </is>
      </c>
      <c r="B27" s="2" t="inlineStr">
        <is>
          <t>UFGS_09_90_00.pdf</t>
        </is>
      </c>
      <c r="C27" s="2" t="n">
        <v>17</v>
      </c>
      <c r="D27" s="2" t="n">
        <v>3</v>
      </c>
      <c r="E27" s="2" t="inlineStr">
        <is>
          <t>1.5 SCHEDULING</t>
        </is>
      </c>
      <c r="F27" s="2" t="inlineStr">
        <is>
          <t>Nē</t>
        </is>
      </c>
      <c r="G27" s="2" t="n"/>
    </row>
    <row r="28">
      <c r="A28" s="2" t="inlineStr">
        <is>
          <t>UFGS_09_90_0-P0017-004</t>
        </is>
      </c>
      <c r="B28" s="2" t="inlineStr">
        <is>
          <t>UFGS_09_90_00.pdf</t>
        </is>
      </c>
      <c r="C28" s="2" t="n">
        <v>17</v>
      </c>
      <c r="D28" s="2" t="n">
        <v>4</v>
      </c>
      <c r="E28" s="2" t="inlineStr">
        <is>
          <t>NOTE: This Article is tailored for inclusion in NAVY projects only.</t>
        </is>
      </c>
      <c r="F28" s="2" t="inlineStr">
        <is>
          <t>Nē</t>
        </is>
      </c>
      <c r="G28" s="2" t="n"/>
    </row>
    <row r="29">
      <c r="A29" s="2" t="inlineStr">
        <is>
          <t>UFGS_09_90_0-P0017-005</t>
        </is>
      </c>
      <c r="B29" s="2" t="inlineStr">
        <is>
          <t>UFGS_09_90_00.pdf</t>
        </is>
      </c>
      <c r="C29" s="2" t="n">
        <v>17</v>
      </c>
      <c r="D29" s="2" t="n">
        <v>5</v>
      </c>
      <c r="E29" s="2" t="inlineStr">
        <is>
          <t>Materials that adsorb VOCs include carpets, textiles, unprimed gypsum wallboard, and acoustical ceiling panels.</t>
        </is>
      </c>
      <c r="F29" s="2" t="inlineStr">
        <is>
          <t>Nē</t>
        </is>
      </c>
      <c r="G29" s="2" t="n"/>
    </row>
    <row r="30">
      <c r="A30" s="2" t="inlineStr">
        <is>
          <t>UFGS_09_90_0-P0017-006</t>
        </is>
      </c>
      <c r="B30" s="2" t="inlineStr">
        <is>
          <t>UFGS_09_90_00.pdf</t>
        </is>
      </c>
      <c r="C30" s="2" t="n">
        <v>17</v>
      </c>
      <c r="D30" s="2" t="n">
        <v>6</v>
      </c>
      <c r="E30" s="2" t="inlineStr">
        <is>
          <t>Add any of these materials that are included in the project and other adsorbing materials into the empty bracket.</t>
        </is>
      </c>
      <c r="F30" s="2" t="inlineStr">
        <is>
          <t>Nē</t>
        </is>
      </c>
      <c r="G30" s="2" t="n"/>
    </row>
    <row r="31">
      <c r="A31" s="2" t="inlineStr">
        <is>
          <t>UFGS_09_90_0-P0017-007</t>
        </is>
      </c>
      <c r="B31" s="2" t="inlineStr">
        <is>
          <t>UFGS_09_90_00.pdf</t>
        </is>
      </c>
      <c r="C31" s="2" t="n">
        <v>17</v>
      </c>
      <c r="D31" s="2" t="n">
        <v>7</v>
      </c>
      <c r="E31" s="2" t="inlineStr">
        <is>
          <t>Allow paint, polyurethane, varnish, and wood stain installations to cure prior to the installation of materials that adsorb VOCs, including[ carpets,][ textiles,][ unprimed gypsum wallboard,][ acoustical ceiling panels,] [_____].</t>
        </is>
      </c>
      <c r="F31" s="2" t="inlineStr">
        <is>
          <t>Nē</t>
        </is>
      </c>
      <c r="G31" s="2" t="n"/>
    </row>
    <row r="32">
      <c r="A32" s="2" t="inlineStr">
        <is>
          <t>UFGS_09_90_0-P0017-008</t>
        </is>
      </c>
      <c r="B32" s="2" t="inlineStr">
        <is>
          <t>UFGS_09_90_00.pdf</t>
        </is>
      </c>
      <c r="C32" s="2" t="n">
        <v>17</v>
      </c>
      <c r="D32" s="2" t="n">
        <v>8</v>
      </c>
      <c r="E32" s="2" t="inlineStr">
        <is>
          <t>1.6 SUBMITTALS</t>
        </is>
      </c>
      <c r="F32" s="2" t="inlineStr">
        <is>
          <t>Nē</t>
        </is>
      </c>
      <c r="G32" s="2" t="n"/>
    </row>
    <row r="33">
      <c r="A33" s="2" t="inlineStr">
        <is>
          <t>UFGS_09_90_0-P0017-009</t>
        </is>
      </c>
      <c r="B33" s="2" t="inlineStr">
        <is>
          <t>UFGS_09_90_00.pdf</t>
        </is>
      </c>
      <c r="C33" s="2" t="n">
        <v>17</v>
      </c>
      <c r="D33" s="2" t="n">
        <v>9</v>
      </c>
      <c r="E33" s="2" t="inlineStr">
        <is>
          <t>NOTE: NOTE: Review Submittal Description (SD) definitions in Section 01 33 00 SUBMITTAL PROCEDURES and edit the following list, and corresponding submittal items in the text, to reflect only the submittals required for the project.</t>
        </is>
      </c>
      <c r="F33" s="2" t="inlineStr">
        <is>
          <t>Nē</t>
        </is>
      </c>
      <c r="G33" s="2" t="n"/>
    </row>
    <row r="34">
      <c r="A34" s="2" t="inlineStr">
        <is>
          <t>UFGS_09_90_0-P0017-010</t>
        </is>
      </c>
      <c r="B34" s="2" t="inlineStr">
        <is>
          <t>UFGS_09_90_00.pdf</t>
        </is>
      </c>
      <c r="C34" s="2" t="n">
        <v>17</v>
      </c>
      <c r="D34" s="2" t="n">
        <v>10</v>
      </c>
      <c r="E34" s="2" t="inlineStr">
        <is>
          <t>The Guide Specification technical editors have classified those items that require Government approval, due to their complexity or criticality, with a "G." Generally, other submittal items can be reviewed by the Contractor's Quality Control System.</t>
        </is>
      </c>
      <c r="F34" s="2" t="inlineStr">
        <is>
          <t>Nē</t>
        </is>
      </c>
      <c r="G34" s="2" t="n"/>
    </row>
    <row r="35">
      <c r="A35" s="2" t="inlineStr">
        <is>
          <t>UFGS_09_90_0-P0017-011</t>
        </is>
      </c>
      <c r="B35" s="2" t="inlineStr">
        <is>
          <t>UFGS_09_90_00.pdf</t>
        </is>
      </c>
      <c r="C35" s="2" t="n">
        <v>17</v>
      </c>
      <c r="D35" s="2" t="n">
        <v>11</v>
      </c>
      <c r="E35" s="2" t="inlineStr">
        <is>
          <t>Only add a "G" to an item if the submittal is sufficiently important or complex in context of the project.</t>
        </is>
      </c>
      <c r="F35" s="2" t="inlineStr">
        <is>
          <t>Nē</t>
        </is>
      </c>
      <c r="G35" s="2" t="n"/>
    </row>
    <row r="36">
      <c r="A36" s="2" t="inlineStr">
        <is>
          <t>UFGS_09_90_0-P0017-012</t>
        </is>
      </c>
      <c r="B36" s="2" t="inlineStr">
        <is>
          <t>UFGS_09_90_00.pdf</t>
        </is>
      </c>
      <c r="C36" s="2" t="n">
        <v>17</v>
      </c>
      <c r="D36" s="2" t="n">
        <v>12</v>
      </c>
      <c r="E36" s="2" t="inlineStr">
        <is>
          <t>For Army projects, fill in the empty brackets following the "G" classification with a code of up to three characters to indicate the approving authority.</t>
        </is>
      </c>
      <c r="F36" s="2" t="inlineStr">
        <is>
          <t>Nē</t>
        </is>
      </c>
      <c r="G36" s="2" t="n"/>
    </row>
    <row r="37">
      <c r="A37" s="2" t="inlineStr">
        <is>
          <t>UFGS_09_90_0-P0017-013</t>
        </is>
      </c>
      <c r="B37" s="2" t="inlineStr">
        <is>
          <t>UFGS_09_90_00.pdf</t>
        </is>
      </c>
      <c r="C37" s="2" t="n">
        <v>17</v>
      </c>
      <c r="D37" s="2" t="n">
        <v>13</v>
      </c>
      <c r="E37" s="2" t="inlineStr">
        <is>
          <t>Codes for Army projects using the Resident Management System (RMS) are: "AE" for Architect-Engineer; "DO" for District Office (Engineering Division or other organization in the District Office); "AO" for Area Office; "RO" for Resident Office; and "PO" for Project Office.</t>
        </is>
      </c>
      <c r="F37" s="2" t="inlineStr">
        <is>
          <t>Nē</t>
        </is>
      </c>
      <c r="G37" s="2" t="n"/>
    </row>
    <row r="38">
      <c r="A38" s="2" t="inlineStr">
        <is>
          <t>UFGS_09_90_0-P0017-014</t>
        </is>
      </c>
      <c r="B38" s="2" t="inlineStr">
        <is>
          <t>UFGS_09_90_00.pdf</t>
        </is>
      </c>
      <c r="C38" s="2" t="n">
        <v>17</v>
      </c>
      <c r="D38" s="2" t="n">
        <v>14</v>
      </c>
      <c r="E38" s="2" t="inlineStr">
        <is>
          <t>Codes following the "G" typically are not used for Navy and Air Force projects.</t>
        </is>
      </c>
      <c r="F38" s="2" t="inlineStr">
        <is>
          <t>Nē</t>
        </is>
      </c>
      <c r="G38" s="2" t="n"/>
    </row>
    <row r="39">
      <c r="A39" s="2" t="inlineStr">
        <is>
          <t>UFGS_09_90_0-P0017-015</t>
        </is>
      </c>
      <c r="B39" s="2" t="inlineStr">
        <is>
          <t>UFGS_09_90_00.pdf</t>
        </is>
      </c>
      <c r="C39" s="2" t="n">
        <v>17</v>
      </c>
      <c r="D39" s="2" t="n">
        <v>15</v>
      </c>
      <c r="E39" s="2" t="inlineStr">
        <is>
          <t>The "S" classification indicates submittals required as proof of compliance for sustainability Guiding Principles Validation or Third Party Certification and as described in Section 01 33 00 SUBMITTAL PROCEDURES.</t>
        </is>
      </c>
      <c r="F39" s="2" t="inlineStr">
        <is>
          <t>Nē</t>
        </is>
      </c>
      <c r="G39" s="2" t="n"/>
    </row>
    <row r="40">
      <c r="A40" s="2" t="inlineStr">
        <is>
          <t>UFGS_09_90_0-P0017-016</t>
        </is>
      </c>
      <c r="B40" s="2" t="inlineStr">
        <is>
          <t>UFGS_09_90_00.pdf</t>
        </is>
      </c>
      <c r="C40" s="2" t="n">
        <v>17</v>
      </c>
      <c r="D40" s="2" t="n">
        <v>16</v>
      </c>
      <c r="E40" s="2" t="inlineStr">
        <is>
          <t>SECTION 09 90 00 Page 17</t>
        </is>
      </c>
      <c r="F40" s="2" t="inlineStr">
        <is>
          <t>Nē</t>
        </is>
      </c>
      <c r="G40" s="2" t="n"/>
    </row>
    <row r="41">
      <c r="A41" s="2" t="inlineStr">
        <is>
          <t>UFGS_09_90_0-P0027-001</t>
        </is>
      </c>
      <c r="B41" s="2" t="inlineStr">
        <is>
          <t>UFGS_09_90_00.pdf</t>
        </is>
      </c>
      <c r="C41" s="2" t="n">
        <v>27</v>
      </c>
      <c r="D41" s="2" t="n">
        <v>1</v>
      </c>
      <c r="E41" s="2" t="inlineStr">
        <is>
          <t>NOTE: The following Table is tailored for inclusion in projects with interior painting.</t>
        </is>
      </c>
      <c r="F41" s="2" t="inlineStr">
        <is>
          <t>Nē</t>
        </is>
      </c>
      <c r="G41" s="2" t="n"/>
    </row>
    <row r="42">
      <c r="A42" s="2" t="inlineStr">
        <is>
          <t>UFGS_09_90_0-P0027-002</t>
        </is>
      </c>
      <c r="B42" s="2" t="inlineStr">
        <is>
          <t>UFGS_09_90_00.pdf</t>
        </is>
      </c>
      <c r="C42" s="2" t="n">
        <v>27</v>
      </c>
      <c r="D42" s="2" t="n">
        <v>2</v>
      </c>
      <c r="E42" s="2" t="inlineStr">
        <is>
          <t>Table for Interior Applications</t>
        </is>
      </c>
      <c r="F42" s="2" t="inlineStr">
        <is>
          <t>Nē</t>
        </is>
      </c>
      <c r="G42" s="2" t="n"/>
    </row>
    <row r="43">
      <c r="A43" s="2" t="inlineStr">
        <is>
          <t>UFGS_09_90_0-P0027-003</t>
        </is>
      </c>
      <c r="B43" s="2" t="inlineStr">
        <is>
          <t>UFGS_09_90_00.pdf</t>
        </is>
      </c>
      <c r="C43" s="2" t="n">
        <v>27</v>
      </c>
      <c r="D43" s="2" t="n">
        <v>3</v>
      </c>
      <c r="E43" s="2" t="inlineStr">
        <is>
          <t>MPI Division Substrate Application</t>
        </is>
      </c>
      <c r="F43" s="2" t="inlineStr">
        <is>
          <t>Nē</t>
        </is>
      </c>
      <c r="G43" s="2" t="n"/>
    </row>
    <row r="44">
      <c r="A44" s="2" t="inlineStr">
        <is>
          <t>UFGS_09_90_0-P0027-004</t>
        </is>
      </c>
      <c r="B44" s="2" t="inlineStr">
        <is>
          <t>UFGS_09_90_00.pdf</t>
        </is>
      </c>
      <c r="C44" s="2" t="n">
        <v>27</v>
      </c>
      <c r="D44" s="2" t="n">
        <v>4</v>
      </c>
      <c r="E44" s="2" t="inlineStr">
        <is>
          <t>MPI Division 3 Interior Concrete Paint Table</t>
        </is>
      </c>
      <c r="F44" s="2" t="inlineStr">
        <is>
          <t>Nē</t>
        </is>
      </c>
      <c r="G44" s="2" t="n"/>
    </row>
    <row r="45">
      <c r="A45" s="2" t="inlineStr">
        <is>
          <t>UFGS_09_90_0-P0027-005</t>
        </is>
      </c>
      <c r="B45" s="2" t="inlineStr">
        <is>
          <t>UFGS_09_90_00.pdf</t>
        </is>
      </c>
      <c r="C45" s="2" t="n">
        <v>27</v>
      </c>
      <c r="D45" s="2" t="n">
        <v>5</v>
      </c>
      <c r="E45" s="2" t="inlineStr">
        <is>
          <t>MPI Division 4 Interior Concrete Masonry Units Paint Table</t>
        </is>
      </c>
      <c r="F45" s="2" t="inlineStr">
        <is>
          <t>Nē</t>
        </is>
      </c>
      <c r="G45" s="2" t="n"/>
    </row>
    <row r="46">
      <c r="A46" s="2" t="inlineStr">
        <is>
          <t>UFGS_09_90_0-P0027-006</t>
        </is>
      </c>
      <c r="B46" s="2" t="inlineStr">
        <is>
          <t>UFGS_09_90_00.pdf</t>
        </is>
      </c>
      <c r="C46" s="2" t="n">
        <v>27</v>
      </c>
      <c r="D46" s="2" t="n">
        <v>6</v>
      </c>
      <c r="E46" s="2" t="inlineStr">
        <is>
          <t>MPI Division 5 Interior Metal, Ferrous and Non-Ferrous Paint Table</t>
        </is>
      </c>
      <c r="F46" s="2" t="inlineStr">
        <is>
          <t>Nē</t>
        </is>
      </c>
      <c r="G46" s="2" t="n"/>
    </row>
    <row r="47">
      <c r="A47" s="2" t="inlineStr">
        <is>
          <t>UFGS_09_90_0-P0027-007</t>
        </is>
      </c>
      <c r="B47" s="2" t="inlineStr">
        <is>
          <t>UFGS_09_90_00.pdf</t>
        </is>
      </c>
      <c r="C47" s="2" t="n">
        <v>27</v>
      </c>
      <c r="D47" s="2" t="n">
        <v>7</v>
      </c>
      <c r="E47" s="2" t="inlineStr">
        <is>
          <t>MPI Division 6 Interior Wood Paint Table MPI Division 9 Interior Plaster, Gypsum Board, Textured Surfaces Paint Table</t>
        </is>
      </c>
      <c r="F47" s="2" t="inlineStr">
        <is>
          <t>Nē</t>
        </is>
      </c>
      <c r="G47" s="2" t="n"/>
    </row>
    <row r="48">
      <c r="A48" s="2" t="inlineStr">
        <is>
          <t>UFGS_09_90_0-P0027-008</t>
        </is>
      </c>
      <c r="B48" s="2" t="inlineStr">
        <is>
          <t>UFGS_09_90_00.pdf</t>
        </is>
      </c>
      <c r="C48" s="2" t="n">
        <v>27</v>
      </c>
      <c r="D48" s="2" t="n">
        <v>8</v>
      </c>
      <c r="E48" s="2" t="inlineStr">
        <is>
          <t>b. Minimum Dry Film Thickness (DFT): Apply paints, primers, varnishes, enamels, undercoats, and other coatings to a minimum DFT of 0.038 mm 1.5 mil each coat unless specified otherwise in the Tables.</t>
        </is>
      </c>
      <c r="F48" s="2" t="inlineStr">
        <is>
          <t>Nē</t>
        </is>
      </c>
      <c r="G48" s="2" t="n"/>
    </row>
    <row r="49">
      <c r="A49" s="2" t="inlineStr">
        <is>
          <t>UFGS_09_90_0-P0027-009</t>
        </is>
      </c>
      <c r="B49" s="2" t="inlineStr">
        <is>
          <t>UFGS_09_90_00.pdf</t>
        </is>
      </c>
      <c r="C49" s="2" t="n">
        <v>27</v>
      </c>
      <c r="D49" s="2" t="n">
        <v>9</v>
      </c>
      <c r="E49" s="2" t="inlineStr">
        <is>
          <t>Coating thickness, where specified, refers to the minimum DFT.</t>
        </is>
      </c>
      <c r="F49" s="2" t="inlineStr">
        <is>
          <t>Nē</t>
        </is>
      </c>
      <c r="G49" s="2" t="n"/>
    </row>
    <row r="50">
      <c r="A50" s="2" t="inlineStr">
        <is>
          <t>UFGS_09_90_0-P0027-010</t>
        </is>
      </c>
      <c r="B50" s="2" t="inlineStr">
        <is>
          <t>UFGS_09_90_00.pdf</t>
        </is>
      </c>
      <c r="C50" s="2" t="n">
        <v>27</v>
      </c>
      <c r="D50" s="2" t="n">
        <v>10</v>
      </c>
      <c r="E50" s="2" t="inlineStr">
        <is>
          <t>NOTE: Update list item c."Coatings for Surfaces Not Specified Otherwise" to reflect paragraph PAINTING EXCLUDED and paragraph MECHANICAL AND ELECTRICAL PAINTING.</t>
        </is>
      </c>
      <c r="F50" s="2" t="inlineStr">
        <is>
          <t>Nē</t>
        </is>
      </c>
      <c r="G50" s="2" t="n"/>
    </row>
    <row r="51">
      <c r="A51" s="2" t="inlineStr">
        <is>
          <t>UFGS_09_90_0-P0027-011</t>
        </is>
      </c>
      <c r="B51" s="2" t="inlineStr">
        <is>
          <t>UFGS_09_90_00.pdf</t>
        </is>
      </c>
      <c r="C51" s="2" t="n">
        <v>27</v>
      </c>
      <c r="D51" s="2" t="n">
        <v>11</v>
      </c>
      <c r="E51" s="2" t="inlineStr">
        <is>
          <t>c. Coatings for Surfaces Not Specified Otherwise: Coat unspecified surfaces the same as surfaces of the same substrate having similar conditions of exposure.</t>
        </is>
      </c>
      <c r="F51" s="2" t="inlineStr">
        <is>
          <t>Nē</t>
        </is>
      </c>
      <c r="G51" s="2" t="n"/>
    </row>
    <row r="52">
      <c r="A52" s="2" t="inlineStr">
        <is>
          <t>UFGS_09_90_0-P0027-012</t>
        </is>
      </c>
      <c r="B52" s="2" t="inlineStr">
        <is>
          <t>UFGS_09_90_00.pdf</t>
        </is>
      </c>
      <c r="C52" s="2" t="n">
        <v>27</v>
      </c>
      <c r="D52" s="2" t="n">
        <v>12</v>
      </c>
      <c r="E52" s="2" t="inlineStr">
        <is>
          <t>Do not paint surfaces listed in paragraph PAINTING EXCLUDED.</t>
        </is>
      </c>
      <c r="F52" s="2" t="inlineStr">
        <is>
          <t>Nē</t>
        </is>
      </c>
      <c r="G52" s="2" t="n"/>
    </row>
    <row r="53">
      <c r="A53" s="2" t="inlineStr">
        <is>
          <t>UFGS_09_90_0-P0027-013</t>
        </is>
      </c>
      <c r="B53" s="2" t="inlineStr">
        <is>
          <t>UFGS_09_90_00.pdf</t>
        </is>
      </c>
      <c r="C53" s="2" t="n">
        <v>27</v>
      </c>
      <c r="D53" s="2" t="n">
        <v>13</v>
      </c>
      <c r="E53" s="2" t="inlineStr">
        <is>
          <t>d. Existing Coated Surfaces To Be Painted: Apply coatings conforming to the respective specifications listed in the Tables herein, except that pretreatments, sealers and fillers need not be provided on surfaces where existing coatings are soundly adhered and in good condition.</t>
        </is>
      </c>
      <c r="F53" s="2" t="inlineStr">
        <is>
          <t>Nē</t>
        </is>
      </c>
      <c r="G53" s="2" t="n"/>
    </row>
    <row r="54">
      <c r="A54" s="2" t="inlineStr">
        <is>
          <t>UFGS_09_90_0-P0027-014</t>
        </is>
      </c>
      <c r="B54" s="2" t="inlineStr">
        <is>
          <t>UFGS_09_90_00.pdf</t>
        </is>
      </c>
      <c r="C54" s="2" t="n">
        <v>27</v>
      </c>
      <c r="D54" s="2" t="n">
        <v>14</v>
      </c>
      <c r="E54" s="2" t="inlineStr">
        <is>
          <t>Do not omit undercoats or primers.</t>
        </is>
      </c>
      <c r="F54" s="2" t="inlineStr">
        <is>
          <t>Nē</t>
        </is>
      </c>
      <c r="G54" s="2" t="n"/>
    </row>
    <row r="55">
      <c r="A55" s="2" t="inlineStr">
        <is>
          <t>UFGS_09_90_0-P0027-015</t>
        </is>
      </c>
      <c r="B55" s="2" t="inlineStr">
        <is>
          <t>UFGS_09_90_00.pdf</t>
        </is>
      </c>
      <c r="C55" s="2" t="n">
        <v>27</v>
      </c>
      <c r="D55" s="2" t="n">
        <v>15</v>
      </c>
      <c r="E55" s="2" t="inlineStr">
        <is>
          <t>e. Repair of Existing Coated Surfaces Damaged During Performance of the Work, Including New Patches on Existing Surfaces: After surface preparation, coat surfaces with the following:</t>
        </is>
      </c>
      <c r="F55" s="2" t="inlineStr">
        <is>
          <t>Nē</t>
        </is>
      </c>
      <c r="G55" s="2" t="n"/>
    </row>
    <row r="56">
      <c r="A56" s="2" t="inlineStr">
        <is>
          <t>UFGS_09_90_0-P0027-016</t>
        </is>
      </c>
      <c r="B56" s="2" t="inlineStr">
        <is>
          <t>UFGS_09_90_00.pdf</t>
        </is>
      </c>
      <c r="C56" s="2" t="n">
        <v>27</v>
      </c>
      <c r="D56" s="2" t="n">
        <v>16</v>
      </c>
      <c r="E56" s="2" t="inlineStr">
        <is>
          <t>(1) One coat of primer.</t>
        </is>
      </c>
      <c r="F56" s="2" t="inlineStr">
        <is>
          <t>Nē</t>
        </is>
      </c>
      <c r="G56" s="2" t="n"/>
    </row>
    <row r="57">
      <c r="A57" s="2" t="inlineStr">
        <is>
          <t>UFGS_09_90_0-P0027-017</t>
        </is>
      </c>
      <c r="B57" s="2" t="inlineStr">
        <is>
          <t>UFGS_09_90_00.pdf</t>
        </is>
      </c>
      <c r="C57" s="2" t="n">
        <v>27</v>
      </c>
      <c r="D57" s="2" t="n">
        <v>17</v>
      </c>
      <c r="E57" s="2" t="inlineStr">
        <is>
          <t>(2) One coat of undercoat or intermediate coat.</t>
        </is>
      </c>
      <c r="F57" s="2" t="inlineStr">
        <is>
          <t>Nē</t>
        </is>
      </c>
      <c r="G57" s="2" t="n"/>
    </row>
    <row r="58">
      <c r="A58" s="2" t="inlineStr">
        <is>
          <t>UFGS_09_90_0-P0027-018</t>
        </is>
      </c>
      <c r="B58" s="2" t="inlineStr">
        <is>
          <t>UFGS_09_90_00.pdf</t>
        </is>
      </c>
      <c r="C58" s="2" t="n">
        <v>27</v>
      </c>
      <c r="D58" s="2" t="n">
        <v>18</v>
      </c>
      <c r="E58" s="2" t="inlineStr">
        <is>
          <t>(3) One topcoat to match adjacent surfaces.</t>
        </is>
      </c>
      <c r="F58" s="2" t="inlineStr">
        <is>
          <t>Nē</t>
        </is>
      </c>
      <c r="G58" s="2" t="n"/>
    </row>
    <row r="59">
      <c r="A59" s="2" t="inlineStr">
        <is>
          <t>UFGS_09_90_0-P0027-019</t>
        </is>
      </c>
      <c r="B59" s="2" t="inlineStr">
        <is>
          <t>UFGS_09_90_00.pdf</t>
        </is>
      </c>
      <c r="C59" s="2" t="n">
        <v>27</v>
      </c>
      <c r="D59" s="2" t="n">
        <v>19</v>
      </c>
      <c r="E59" s="2" t="inlineStr">
        <is>
          <t>SECTION 09 90 00 Page 27</t>
        </is>
      </c>
      <c r="F59" s="2" t="inlineStr">
        <is>
          <t>Nē</t>
        </is>
      </c>
      <c r="G59" s="2" t="n"/>
    </row>
    <row r="60">
      <c r="A60" s="2" t="inlineStr">
        <is>
          <t>UFGS_09_90_0-P0058-001</t>
        </is>
      </c>
      <c r="B60" s="2" t="inlineStr">
        <is>
          <t>UFGS_09_90_00.pdf</t>
        </is>
      </c>
      <c r="C60" s="2" t="n">
        <v>58</v>
      </c>
      <c r="D60" s="2" t="n">
        <v>1</v>
      </c>
      <c r="E60" s="2" t="inlineStr">
        <is>
          <t>Topcoat: Coating to match adjacent surfaces.</t>
        </is>
      </c>
      <c r="F60" s="2" t="inlineStr">
        <is>
          <t>Nē</t>
        </is>
      </c>
      <c r="G60" s="2" t="n"/>
    </row>
    <row r="61">
      <c r="A61" s="2" t="inlineStr">
        <is>
          <t>UFGS_09_90_0-P0058-002</t>
        </is>
      </c>
      <c r="B61" s="2" t="inlineStr">
        <is>
          <t>UFGS_09_90_00.pdf</t>
        </is>
      </c>
      <c r="C61" s="2" t="n">
        <v>58</v>
      </c>
      <c r="D61" s="2" t="n">
        <v>2</v>
      </c>
      <c r="E61" s="2" t="inlineStr">
        <is>
          <t>Load Non-Skid Additive at manufacturer's recommendations.</t>
        </is>
      </c>
      <c r="F61" s="2" t="inlineStr">
        <is>
          <t>Nē</t>
        </is>
      </c>
      <c r="G61" s="2" t="n"/>
    </row>
    <row r="62">
      <c r="A62" s="2" t="inlineStr">
        <is>
          <t>UFGS_09_90_0-P0058-003</t>
        </is>
      </c>
      <c r="B62" s="2" t="inlineStr">
        <is>
          <t>UFGS_09_90_00.pdf</t>
        </is>
      </c>
      <c r="C62" s="2" t="n">
        <v>58</v>
      </c>
      <c r="D62" s="2" t="n">
        <v>3</v>
      </c>
      <c r="E62" s="2" t="inlineStr">
        <is>
          <t>B. Exterior Galvanized Surfaces</t>
        </is>
      </c>
      <c r="F62" s="2" t="inlineStr">
        <is>
          <t>Nē</t>
        </is>
      </c>
      <c r="G62" s="2" t="n"/>
    </row>
    <row r="63">
      <c r="A63" s="2" t="inlineStr">
        <is>
          <t>UFGS_09_90_0-P0058-004</t>
        </is>
      </c>
      <c r="B63" s="2" t="inlineStr">
        <is>
          <t>UFGS_09_90_00.pdf</t>
        </is>
      </c>
      <c r="C63" s="2" t="n">
        <v>58</v>
      </c>
      <c r="D63" s="2" t="n">
        <v>4</v>
      </c>
      <c r="E63" s="2" t="inlineStr">
        <is>
          <t>(1) New Galvanized surfaces</t>
        </is>
      </c>
      <c r="F63" s="2" t="inlineStr">
        <is>
          <t>Nē</t>
        </is>
      </c>
      <c r="G63" s="2" t="n"/>
    </row>
    <row r="64">
      <c r="A64" s="2" t="inlineStr">
        <is>
          <t>UFGS_09_90_0-P0058-005</t>
        </is>
      </c>
      <c r="B64" s="2" t="inlineStr">
        <is>
          <t>UFGS_09_90_00.pdf</t>
        </is>
      </c>
      <c r="C64" s="2" t="n">
        <v>58</v>
      </c>
      <c r="D64" s="2" t="n">
        <v>5</v>
      </c>
      <c r="E64" s="2" t="inlineStr">
        <is>
          <t>NOTE: For overcoating existing alkyd, latex or epoxy systems refer to Evaluation Section of MPI Repaint Manual.</t>
        </is>
      </c>
      <c r="F64" s="2" t="inlineStr">
        <is>
          <t>Nē</t>
        </is>
      </c>
      <c r="G64" s="2" t="n"/>
    </row>
    <row r="65">
      <c r="A65" s="2" t="inlineStr">
        <is>
          <t>UFGS_09_90_0-P0058-006</t>
        </is>
      </c>
      <c r="B65" s="2" t="inlineStr">
        <is>
          <t>UFGS_09_90_00.pdf</t>
        </is>
      </c>
      <c r="C65" s="2" t="n">
        <v>58</v>
      </c>
      <c r="D65" s="2" t="n">
        <v>6</v>
      </c>
      <c r="E65" s="2" t="inlineStr">
        <is>
          <t>In the first option, select appropriate top coat.</t>
        </is>
      </c>
      <c r="F65" s="2" t="inlineStr">
        <is>
          <t>Nē</t>
        </is>
      </c>
      <c r="G65" s="2" t="n"/>
    </row>
    <row r="66">
      <c r="A66" s="2" t="inlineStr">
        <is>
          <t>UFGS_09_90_0-P0058-007</t>
        </is>
      </c>
      <c r="B66" s="2" t="inlineStr">
        <is>
          <t>UFGS_09_90_00.pdf</t>
        </is>
      </c>
      <c r="C66" s="2" t="n">
        <v>58</v>
      </c>
      <c r="D66" s="2" t="n">
        <v>7</v>
      </c>
      <c r="E66" s="2" t="inlineStr">
        <is>
          <t>Use first top coat option for geographic areas that do not have harsh environmental conditions.</t>
        </is>
      </c>
      <c r="F66" s="2" t="inlineStr">
        <is>
          <t>Nē</t>
        </is>
      </c>
      <c r="G66" s="2" t="n"/>
    </row>
    <row r="67">
      <c r="A67" s="2" t="inlineStr">
        <is>
          <t>UFGS_09_90_0-P0058-008</t>
        </is>
      </c>
      <c r="B67" s="2" t="inlineStr">
        <is>
          <t>UFGS_09_90_00.pdf</t>
        </is>
      </c>
      <c r="C67" s="2" t="n">
        <v>58</v>
      </c>
      <c r="D67" s="2" t="n">
        <v>8</v>
      </c>
      <c r="E67" s="2" t="inlineStr">
        <is>
          <t>Use the second top coat option for areas that have harsh, corrosive environments.</t>
        </is>
      </c>
      <c r="F67" s="2" t="inlineStr">
        <is>
          <t>Nē</t>
        </is>
      </c>
      <c r="G67" s="2" t="n"/>
    </row>
    <row r="68">
      <c r="A68" s="2" t="inlineStr">
        <is>
          <t>UFGS_09_90_0-P0058-009</t>
        </is>
      </c>
      <c r="B68" s="2" t="inlineStr">
        <is>
          <t>UFGS_09_90_00.pdf</t>
        </is>
      </c>
      <c r="C68" s="2" t="n">
        <v>58</v>
      </c>
      <c r="D68" s="2" t="n">
        <v>9</v>
      </c>
      <c r="E68" s="2" t="inlineStr">
        <is>
          <t>Waterborne Primer / Latex</t>
        </is>
      </c>
      <c r="F68" s="2" t="inlineStr">
        <is>
          <t>Nē</t>
        </is>
      </c>
      <c r="G68" s="2" t="n"/>
    </row>
    <row r="69">
      <c r="A69" s="2" t="inlineStr">
        <is>
          <t>UFGS_09_90_0-P0058-010</t>
        </is>
      </c>
      <c r="B69" s="2" t="inlineStr">
        <is>
          <t>UFGS_09_90_00.pdf</t>
        </is>
      </c>
      <c r="C69" s="2" t="n">
        <v>58</v>
      </c>
      <c r="D69" s="2" t="n">
        <v>10</v>
      </c>
      <c r="E69" s="2" t="inlineStr">
        <is>
          <t>New Galvanized Primer Intermediate Topcoat System DFT Surfaces</t>
        </is>
      </c>
      <c r="F69" s="2" t="inlineStr">
        <is>
          <t>Nē</t>
        </is>
      </c>
      <c r="G69" s="2" t="n"/>
    </row>
    <row r="70">
      <c r="A70" s="2" t="inlineStr">
        <is>
          <t>UFGS_09_90_0-P0058-011</t>
        </is>
      </c>
      <c r="B70" s="2" t="inlineStr">
        <is>
          <t>UFGS_09_90_00.pdf</t>
        </is>
      </c>
      <c r="C70" s="2" t="n">
        <v>58</v>
      </c>
      <c r="D70" s="2" t="n">
        <v>11</v>
      </c>
      <c r="E70" s="2" t="inlineStr">
        <is>
          <t>MPI EXT 5.3H-G1 MPI 134 MPI 10 MPI 10 112 microns4.5 (Flat) mils</t>
        </is>
      </c>
      <c r="F70" s="2" t="inlineStr">
        <is>
          <t>Nē</t>
        </is>
      </c>
      <c r="G70" s="2" t="n"/>
    </row>
    <row r="71">
      <c r="A71" s="2" t="inlineStr">
        <is>
          <t>UFGS_09_90_0-P0058-012</t>
        </is>
      </c>
      <c r="B71" s="2" t="inlineStr">
        <is>
          <t>UFGS_09_90_00.pdf</t>
        </is>
      </c>
      <c r="C71" s="2" t="n">
        <v>58</v>
      </c>
      <c r="D71" s="2" t="n">
        <v>12</v>
      </c>
      <c r="E71" s="2" t="inlineStr">
        <is>
          <t>EXT 5.3H-G5 MPI 134 MPI 11 MPI 11 112 microns4.5 (Semigloss) mils</t>
        </is>
      </c>
      <c r="F71" s="2" t="inlineStr">
        <is>
          <t>Nē</t>
        </is>
      </c>
      <c r="G71" s="2" t="n"/>
    </row>
    <row r="72">
      <c r="A72" s="2" t="inlineStr">
        <is>
          <t>UFGS_09_90_0-P0058-013</t>
        </is>
      </c>
      <c r="B72" s="2" t="inlineStr">
        <is>
          <t>UFGS_09_90_00.pdf</t>
        </is>
      </c>
      <c r="C72" s="2" t="n">
        <v>58</v>
      </c>
      <c r="D72" s="2" t="n">
        <v>13</v>
      </c>
      <c r="E72" s="2" t="inlineStr">
        <is>
          <t>MPI EXT 5.3H-G6 MPI 134 MPI 119 MPI 119 112 microns4.5 (Gloss) mils</t>
        </is>
      </c>
      <c r="F72" s="2" t="inlineStr">
        <is>
          <t>Nē</t>
        </is>
      </c>
      <c r="G72" s="2" t="n"/>
    </row>
    <row r="73">
      <c r="A73" s="2" t="inlineStr">
        <is>
          <t>UFGS_09_90_0-P0058-014</t>
        </is>
      </c>
      <c r="B73" s="2" t="inlineStr">
        <is>
          <t>UFGS_09_90_00.pdf</t>
        </is>
      </c>
      <c r="C73" s="2" t="n">
        <v>58</v>
      </c>
      <c r="D73" s="2" t="n">
        <v>14</v>
      </c>
      <c r="E73" s="2" t="inlineStr">
        <is>
          <t>Waterborne Primer / Waterborne Light Industrial Coating</t>
        </is>
      </c>
      <c r="F73" s="2" t="inlineStr">
        <is>
          <t>Nē</t>
        </is>
      </c>
      <c r="G73" s="2" t="n"/>
    </row>
    <row r="74">
      <c r="A74" s="2" t="inlineStr">
        <is>
          <t>UFGS_09_90_0-P0058-015</t>
        </is>
      </c>
      <c r="B74" s="2" t="inlineStr">
        <is>
          <t>UFGS_09_90_00.pdf</t>
        </is>
      </c>
      <c r="C74" s="2" t="n">
        <v>58</v>
      </c>
      <c r="D74" s="2" t="n">
        <v>15</v>
      </c>
      <c r="E74" s="2" t="inlineStr">
        <is>
          <t>MPI EXT 5.3J-G5 MPI 134 MPI 163 MPI 163 112 microns4.5 (Semigloss) mils</t>
        </is>
      </c>
      <c r="F74" s="2" t="inlineStr">
        <is>
          <t>Nē</t>
        </is>
      </c>
      <c r="G74" s="2" t="n"/>
    </row>
    <row r="75">
      <c r="A75" s="2" t="inlineStr">
        <is>
          <t>UFGS_09_90_0-P0058-016</t>
        </is>
      </c>
      <c r="B75" s="2" t="inlineStr">
        <is>
          <t>UFGS_09_90_00.pdf</t>
        </is>
      </c>
      <c r="C75" s="2" t="n">
        <v>58</v>
      </c>
      <c r="D75" s="2" t="n">
        <v>16</v>
      </c>
      <c r="E75" s="2" t="inlineStr">
        <is>
          <t>MPI EXT 5.3J-G6 MPI 134 MPI 164 MPI 164 112 microns4.5 (Gloss) mils</t>
        </is>
      </c>
      <c r="F75" s="2" t="inlineStr">
        <is>
          <t>Nē</t>
        </is>
      </c>
      <c r="G75" s="2" t="n"/>
    </row>
    <row r="76">
      <c r="A76" s="2" t="inlineStr">
        <is>
          <t>UFGS_09_90_0-P0058-017</t>
        </is>
      </c>
      <c r="B76" s="2" t="inlineStr">
        <is>
          <t>UFGS_09_90_00.pdf</t>
        </is>
      </c>
      <c r="C76" s="2" t="n">
        <v>58</v>
      </c>
      <c r="D76" s="2" t="n">
        <v>17</v>
      </c>
      <c r="E76" s="2" t="inlineStr">
        <is>
          <t>Epoxy Primer / Waterborne Light Industrial Coating</t>
        </is>
      </c>
      <c r="F76" s="2" t="inlineStr">
        <is>
          <t>Nē</t>
        </is>
      </c>
      <c r="G76" s="2" t="n"/>
    </row>
    <row r="77">
      <c r="A77" s="2" t="inlineStr">
        <is>
          <t>UFGS_09_90_0-P0058-018</t>
        </is>
      </c>
      <c r="B77" s="2" t="inlineStr">
        <is>
          <t>UFGS_09_90_00.pdf</t>
        </is>
      </c>
      <c r="C77" s="2" t="n">
        <v>58</v>
      </c>
      <c r="D77" s="2" t="n">
        <v>18</v>
      </c>
      <c r="E77" s="2" t="inlineStr">
        <is>
          <t>SECTION 09 90 00 Page 58</t>
        </is>
      </c>
      <c r="F77" s="2" t="inlineStr">
        <is>
          <t>Nē</t>
        </is>
      </c>
      <c r="G77" s="2" t="n"/>
    </row>
    <row r="78">
      <c r="A78" s="2" t="inlineStr">
        <is>
          <t>UFGS_09_90_0-P0088-001</t>
        </is>
      </c>
      <c r="B78" s="2" t="inlineStr">
        <is>
          <t>UFGS_09_90_00.pdf</t>
        </is>
      </c>
      <c r="C78" s="2" t="n">
        <v>88</v>
      </c>
      <c r="D78" s="2" t="n">
        <v>1</v>
      </c>
      <c r="E78" s="2" t="inlineStr">
        <is>
          <t>Clear Polyurethane</t>
        </is>
      </c>
      <c r="F78" s="2" t="inlineStr">
        <is>
          <t>Nē</t>
        </is>
      </c>
      <c r="G78" s="2" t="n"/>
    </row>
    <row r="79">
      <c r="A79" s="2" t="inlineStr">
        <is>
          <t>UFGS_09_90_0-P0088-002</t>
        </is>
      </c>
      <c r="B79" s="2" t="inlineStr">
        <is>
          <t>UFGS_09_90_00.pdf</t>
        </is>
      </c>
      <c r="C79" s="2" t="n">
        <v>88</v>
      </c>
      <c r="D79" s="2" t="n">
        <v>2</v>
      </c>
      <c r="E79" s="2" t="inlineStr">
        <is>
          <t>New, uncoated Primer Intermediate Topcoat System DFT Existing</t>
        </is>
      </c>
      <c r="F79" s="2" t="inlineStr">
        <is>
          <t>Nē</t>
        </is>
      </c>
      <c r="G79" s="2" t="n"/>
    </row>
    <row r="80">
      <c r="A80" s="2" t="inlineStr">
        <is>
          <t>UFGS_09_90_0-P0088-003</t>
        </is>
      </c>
      <c r="B80" s="2" t="inlineStr">
        <is>
          <t>UFGS_09_90_00.pdf</t>
        </is>
      </c>
      <c r="C80" s="2" t="n">
        <v>88</v>
      </c>
      <c r="D80" s="2" t="n">
        <v>3</v>
      </c>
      <c r="E80" s="2" t="inlineStr">
        <is>
          <t>MPI INT 6.2Q-G6 Per Manufacturer MPI 72 MPI 72 Per Manufacturer (Gloss)</t>
        </is>
      </c>
      <c r="F80" s="2" t="inlineStr">
        <is>
          <t>Nē</t>
        </is>
      </c>
      <c r="G80" s="2" t="n"/>
    </row>
    <row r="81">
      <c r="A81" s="2" t="inlineStr">
        <is>
          <t>UFGS_09_90_0-P0088-004</t>
        </is>
      </c>
      <c r="B81" s="2" t="inlineStr">
        <is>
          <t>UFGS_09_90_00.pdf</t>
        </is>
      </c>
      <c r="C81" s="2" t="n">
        <v>88</v>
      </c>
      <c r="D81" s="2" t="n">
        <v>4</v>
      </c>
      <c r="E81" s="2" t="inlineStr">
        <is>
          <t>Surface preparation and number of coats in accordance with manufacturer's instructions.</t>
        </is>
      </c>
      <c r="F81" s="2" t="inlineStr">
        <is>
          <t>Nē</t>
        </is>
      </c>
      <c r="G81" s="2" t="n"/>
    </row>
    <row r="82">
      <c r="A82" s="2" t="inlineStr">
        <is>
          <t>UFGS_09_90_0-P0088-005</t>
        </is>
      </c>
      <c r="B82" s="2" t="inlineStr">
        <is>
          <t>UFGS_09_90_00.pdf</t>
        </is>
      </c>
      <c r="C82" s="2" t="n">
        <v>88</v>
      </c>
      <c r="D82" s="2" t="n">
        <v>5</v>
      </c>
      <c r="E82" s="2" t="inlineStr">
        <is>
          <t>Waterborne Light Industrial</t>
        </is>
      </c>
      <c r="F82" s="2" t="inlineStr">
        <is>
          <t>Nē</t>
        </is>
      </c>
      <c r="G82" s="2" t="n"/>
    </row>
    <row r="83">
      <c r="A83" s="2" t="inlineStr">
        <is>
          <t>UFGS_09_90_0-P0088-006</t>
        </is>
      </c>
      <c r="B83" s="2" t="inlineStr">
        <is>
          <t>UFGS_09_90_00.pdf</t>
        </is>
      </c>
      <c r="C83" s="2" t="n">
        <v>88</v>
      </c>
      <c r="D83" s="2" t="n">
        <v>6</v>
      </c>
      <c r="E83" s="2" t="inlineStr">
        <is>
          <t>New, uncoated Existing Primer Intermediate Topcoat System DFT</t>
        </is>
      </c>
      <c r="F83" s="2" t="inlineStr">
        <is>
          <t>Nē</t>
        </is>
      </c>
      <c r="G83" s="2" t="n"/>
    </row>
    <row r="84">
      <c r="A84" s="2" t="inlineStr">
        <is>
          <t>UFGS_09_90_0-P0088-007</t>
        </is>
      </c>
      <c r="B84" s="2" t="inlineStr">
        <is>
          <t>UFGS_09_90_00.pdf</t>
        </is>
      </c>
      <c r="C84" s="2" t="n">
        <v>88</v>
      </c>
      <c r="D84" s="2" t="n">
        <v>7</v>
      </c>
      <c r="E84" s="2" t="inlineStr">
        <is>
          <t>MPI INT 6.3P-G5 MPI 45 MPI 153 MPI 153 112 microns4.5 (Semigloss) mils</t>
        </is>
      </c>
      <c r="F84" s="2" t="inlineStr">
        <is>
          <t>Nē</t>
        </is>
      </c>
      <c r="G84" s="2" t="n"/>
    </row>
    <row r="85">
      <c r="A85" s="2" t="inlineStr">
        <is>
          <t>UFGS_09_90_0-P0088-008</t>
        </is>
      </c>
      <c r="B85" s="2" t="inlineStr">
        <is>
          <t>UFGS_09_90_00.pdf</t>
        </is>
      </c>
      <c r="C85" s="2" t="n">
        <v>88</v>
      </c>
      <c r="D85" s="2" t="n">
        <v>8</v>
      </c>
      <c r="E85" s="2" t="inlineStr">
        <is>
          <t>MPI INT 6.3P-G6 (Gloss) MPI 45 MPI 154 MPI 154 112 microns4.5 mils</t>
        </is>
      </c>
      <c r="F85" s="2" t="inlineStr">
        <is>
          <t>Nē</t>
        </is>
      </c>
      <c r="G85" s="2" t="n"/>
    </row>
    <row r="86">
      <c r="A86" s="2" t="inlineStr">
        <is>
          <t>UFGS_09_90_0-P0088-009</t>
        </is>
      </c>
      <c r="B86" s="2" t="inlineStr">
        <is>
          <t>UFGS_09_90_00.pdf</t>
        </is>
      </c>
      <c r="C86" s="2" t="n">
        <v>88</v>
      </c>
      <c r="D86" s="2" t="n">
        <v>9</v>
      </c>
      <c r="E86" s="2" t="inlineStr">
        <is>
          <t>Topcoat: Coating to match adjacent surfaces.</t>
        </is>
      </c>
      <c r="F86" s="2" t="inlineStr">
        <is>
          <t>Nē</t>
        </is>
      </c>
      <c r="G86" s="2" t="n"/>
    </row>
    <row r="87">
      <c r="A87" s="2" t="inlineStr">
        <is>
          <t>UFGS_09_90_0-P0088-010</t>
        </is>
      </c>
      <c r="B87" s="2" t="inlineStr">
        <is>
          <t>UFGS_09_90_00.pdf</t>
        </is>
      </c>
      <c r="C87" s="2" t="n">
        <v>88</v>
      </c>
      <c r="D87" s="2" t="n">
        <v>10</v>
      </c>
      <c r="E87" s="2" t="inlineStr">
        <is>
          <t>Alkyd</t>
        </is>
      </c>
      <c r="F87" s="2" t="inlineStr">
        <is>
          <t>Nē</t>
        </is>
      </c>
      <c r="G87" s="2" t="n"/>
    </row>
    <row r="88">
      <c r="A88" s="2" t="inlineStr">
        <is>
          <t>UFGS_09_90_0-P0088-011</t>
        </is>
      </c>
      <c r="B88" s="2" t="inlineStr">
        <is>
          <t>UFGS_09_90_00.pdf</t>
        </is>
      </c>
      <c r="C88" s="2" t="n">
        <v>88</v>
      </c>
      <c r="D88" s="2" t="n">
        <v>11</v>
      </c>
      <c r="E88" s="2" t="inlineStr">
        <is>
          <t>MPI INT 6.3B-G5 MPI 45 MPI 47 MPI 47 112 microns4.5 (Semigloss) mils</t>
        </is>
      </c>
      <c r="F88" s="2" t="inlineStr">
        <is>
          <t>Nē</t>
        </is>
      </c>
      <c r="G88" s="2" t="n"/>
    </row>
    <row r="89">
      <c r="A89" s="2" t="inlineStr">
        <is>
          <t>UFGS_09_90_0-P0088-012</t>
        </is>
      </c>
      <c r="B89" s="2" t="inlineStr">
        <is>
          <t>UFGS_09_90_00.pdf</t>
        </is>
      </c>
      <c r="C89" s="2" t="n">
        <v>88</v>
      </c>
      <c r="D89" s="2" t="n">
        <v>12</v>
      </c>
      <c r="E89" s="2" t="inlineStr">
        <is>
          <t>MPI INT 6.3B-G6 (Gloss) MPI 45 MPI 48 MPI 48 112 microns4.5 mils</t>
        </is>
      </c>
      <c r="F89" s="2" t="inlineStr">
        <is>
          <t>Nē</t>
        </is>
      </c>
      <c r="G89" s="2" t="n"/>
    </row>
    <row r="90">
      <c r="A90" s="2" t="inlineStr">
        <is>
          <t>UFGS_09_90_0-P0088-013</t>
        </is>
      </c>
      <c r="B90" s="2" t="inlineStr">
        <is>
          <t>UFGS_09_90_00.pdf</t>
        </is>
      </c>
      <c r="C90" s="2" t="n">
        <v>88</v>
      </c>
      <c r="D90" s="2" t="n">
        <v>13</v>
      </c>
      <c r="E90" s="2" t="inlineStr">
        <is>
          <t>F. Existing, previously painted wood surfaces in[ toilets,][ food-preparation,][ food-serving,][ restrooms,][ laundry areas,][ shower areas,][ areas requiring a high degree of sanitation,] [_____][ and other high humidity areas] not otherwise specified</t>
        </is>
      </c>
      <c r="F90" s="2" t="inlineStr">
        <is>
          <t>Nē</t>
        </is>
      </c>
      <c r="G90" s="2" t="n"/>
    </row>
    <row r="91">
      <c r="A91" s="2" t="inlineStr">
        <is>
          <t>UFGS_09_90_0-P0088-014</t>
        </is>
      </c>
      <c r="B91" s="2" t="inlineStr">
        <is>
          <t>UFGS_09_90_00.pdf</t>
        </is>
      </c>
      <c r="C91" s="2" t="n">
        <v>88</v>
      </c>
      <c r="D91" s="2" t="n">
        <v>14</v>
      </c>
      <c r="E91" s="2" t="inlineStr">
        <is>
          <t>NOTE: List other high humidity areas requiring enamel finishes.</t>
        </is>
      </c>
      <c r="F91" s="2" t="inlineStr">
        <is>
          <t>Nē</t>
        </is>
      </c>
      <c r="G91" s="2" t="n"/>
    </row>
    <row r="92">
      <c r="A92" s="2" t="inlineStr">
        <is>
          <t>UFGS_09_90_0-P0088-015</t>
        </is>
      </c>
      <c r="B92" s="2" t="inlineStr">
        <is>
          <t>UFGS_09_90_00.pdf</t>
        </is>
      </c>
      <c r="C92" s="2" t="n">
        <v>88</v>
      </c>
      <c r="D92" s="2" t="n">
        <v>15</v>
      </c>
      <c r="E92" s="2" t="inlineStr">
        <is>
          <t>For tile-like finishes, filler materials, and applications, specify MPI 31, MPI 71, or MPI 72.</t>
        </is>
      </c>
      <c r="F92" s="2" t="inlineStr">
        <is>
          <t>Nē</t>
        </is>
      </c>
      <c r="G92" s="2" t="n"/>
    </row>
    <row r="93">
      <c r="A93" s="2" t="inlineStr">
        <is>
          <t>UFGS_09_90_0-P0088-016</t>
        </is>
      </c>
      <c r="B93" s="2" t="inlineStr">
        <is>
          <t>UFGS_09_90_00.pdf</t>
        </is>
      </c>
      <c r="C93" s="2" t="n">
        <v>88</v>
      </c>
      <c r="D93" s="2" t="n">
        <v>16</v>
      </c>
      <c r="E93" s="2" t="inlineStr">
        <is>
          <t>NOTE: At the time of this Section revision, the MPI Approved Product List for MPI 31 currently has approved products from fewer than three manufacturers.</t>
        </is>
      </c>
      <c r="F93" s="2" t="inlineStr">
        <is>
          <t>Nē</t>
        </is>
      </c>
      <c r="G93" s="2" t="n"/>
    </row>
    <row r="94">
      <c r="A94" s="2" t="inlineStr">
        <is>
          <t>UFGS_09_90_0-P0088-017</t>
        </is>
      </c>
      <c r="B94" s="2" t="inlineStr">
        <is>
          <t>UFGS_09_90_00.pdf</t>
        </is>
      </c>
      <c r="C94" s="2" t="n">
        <v>88</v>
      </c>
      <c r="D94" s="2" t="n">
        <v>17</v>
      </c>
      <c r="E94" s="2" t="inlineStr">
        <is>
          <t>Ensure that all requirements for specified coatings comply with FAR requirements for</t>
        </is>
      </c>
      <c r="F94" s="2" t="inlineStr">
        <is>
          <t>Nē</t>
        </is>
      </c>
      <c r="G94" s="2" t="n"/>
    </row>
    <row r="95">
      <c r="A95" s="2" t="inlineStr">
        <is>
          <t>UFGS_09_90_0-P0088-018</t>
        </is>
      </c>
      <c r="B95" s="2" t="inlineStr">
        <is>
          <t>UFGS_09_90_00.pdf</t>
        </is>
      </c>
      <c r="C95" s="2" t="n">
        <v>88</v>
      </c>
      <c r="D95" s="2" t="n">
        <v>18</v>
      </c>
      <c r="E95" s="2" t="inlineStr">
        <is>
          <t>SECTION 09 90 00 Page 88</t>
        </is>
      </c>
      <c r="F95" s="2" t="inlineStr">
        <is>
          <t>Nē</t>
        </is>
      </c>
      <c r="G95" s="2" t="n"/>
    </row>
    <row r="96">
      <c r="A96" s="2" t="inlineStr">
        <is>
          <t>UFGS_26_51_0-P0001-001</t>
        </is>
      </c>
      <c r="B96" s="2" t="inlineStr">
        <is>
          <t>UFGS_26_51_00.pdf</t>
        </is>
      </c>
      <c r="C96" s="2" t="n">
        <v>1</v>
      </c>
      <c r="D96" s="2" t="n">
        <v>1</v>
      </c>
      <c r="E96" s="2" t="inlineStr">
        <is>
          <t>USACE / NAVFAC / AFCEC UFGS-26 51 00 (May 2020)</t>
        </is>
      </c>
      <c r="F96" s="2" t="inlineStr">
        <is>
          <t>Nē</t>
        </is>
      </c>
      <c r="G96" s="2" t="n"/>
    </row>
    <row r="97">
      <c r="A97" s="2" t="inlineStr">
        <is>
          <t>UFGS_26_51_0-P0001-002</t>
        </is>
      </c>
      <c r="B97" s="2" t="inlineStr">
        <is>
          <t>UFGS_26_51_00.pdf</t>
        </is>
      </c>
      <c r="C97" s="2" t="n">
        <v>1</v>
      </c>
      <c r="D97" s="2" t="n">
        <v>2</v>
      </c>
      <c r="E97" s="2" t="inlineStr">
        <is>
          <t>Change 2 - 11/21 ------------------------------------ Preparing Activity: NAVFAC Superseding UFGS-26 51 00 (May 2016)</t>
        </is>
      </c>
      <c r="F97" s="2" t="inlineStr">
        <is>
          <t>Nē</t>
        </is>
      </c>
      <c r="G97" s="2" t="n"/>
    </row>
    <row r="98">
      <c r="A98" s="2" t="inlineStr">
        <is>
          <t>UFGS_26_51_0-P0001-003</t>
        </is>
      </c>
      <c r="B98" s="2" t="inlineStr">
        <is>
          <t>UFGS_26_51_00.pdf</t>
        </is>
      </c>
      <c r="C98" s="2" t="n">
        <v>1</v>
      </c>
      <c r="D98" s="2" t="n">
        <v>3</v>
      </c>
      <c r="E98" s="2" t="inlineStr">
        <is>
          <t>UNIFIED FACILITIES GUIDE SPECIFICATIONS</t>
        </is>
      </c>
      <c r="F98" s="2" t="inlineStr">
        <is>
          <t>Nē</t>
        </is>
      </c>
      <c r="G98" s="2" t="n"/>
    </row>
    <row r="99">
      <c r="A99" s="2" t="inlineStr">
        <is>
          <t>UFGS_26_51_0-P0001-004</t>
        </is>
      </c>
      <c r="B99" s="2" t="inlineStr">
        <is>
          <t>UFGS_26_51_00.pdf</t>
        </is>
      </c>
      <c r="C99" s="2" t="n">
        <v>1</v>
      </c>
      <c r="D99" s="2" t="n">
        <v>4</v>
      </c>
      <c r="E99" s="2" t="inlineStr">
        <is>
          <t>References are in agreement with UMRL dated July 2026</t>
        </is>
      </c>
      <c r="F99" s="2" t="inlineStr">
        <is>
          <t>Nē</t>
        </is>
      </c>
      <c r="G99" s="2" t="n"/>
    </row>
    <row r="100">
      <c r="A100" s="2" t="inlineStr">
        <is>
          <t>UFGS_26_51_0-P0001-005</t>
        </is>
      </c>
      <c r="B100" s="2" t="inlineStr">
        <is>
          <t>UFGS_26_51_00.pdf</t>
        </is>
      </c>
      <c r="C100" s="2" t="n">
        <v>1</v>
      </c>
      <c r="D100" s="2" t="n">
        <v>5</v>
      </c>
      <c r="E100" s="2" t="inlineStr">
        <is>
          <t>SECTION TABLE OF CONTENTS</t>
        </is>
      </c>
      <c r="F100" s="2" t="inlineStr">
        <is>
          <t>Nē</t>
        </is>
      </c>
      <c r="G100" s="2" t="n"/>
    </row>
    <row r="101">
      <c r="A101" s="2" t="inlineStr">
        <is>
          <t>UFGS_26_51_0-P0001-006</t>
        </is>
      </c>
      <c r="B101" s="2" t="inlineStr">
        <is>
          <t>UFGS_26_51_00.pdf</t>
        </is>
      </c>
      <c r="C101" s="2" t="n">
        <v>1</v>
      </c>
      <c r="D101" s="2" t="n">
        <v>6</v>
      </c>
      <c r="E101" s="2" t="inlineStr">
        <is>
          <t>DIVISION 26 - ELECTRICAL</t>
        </is>
      </c>
      <c r="F101" s="2" t="inlineStr">
        <is>
          <t>Nē</t>
        </is>
      </c>
      <c r="G101" s="2" t="n"/>
    </row>
    <row r="102">
      <c r="A102" s="2" t="inlineStr">
        <is>
          <t>UFGS_26_51_0-P0001-007</t>
        </is>
      </c>
      <c r="B102" s="2" t="inlineStr">
        <is>
          <t>UFGS_26_51_00.pdf</t>
        </is>
      </c>
      <c r="C102" s="2" t="n">
        <v>1</v>
      </c>
      <c r="D102" s="2" t="n">
        <v>7</v>
      </c>
      <c r="E102" s="2" t="inlineStr">
        <is>
          <t>SECTION 26 51 00</t>
        </is>
      </c>
      <c r="F102" s="2" t="inlineStr">
        <is>
          <t>Nē</t>
        </is>
      </c>
      <c r="G102" s="2" t="n"/>
    </row>
    <row r="103">
      <c r="A103" s="2" t="inlineStr">
        <is>
          <t>UFGS_26_51_0-P0001-008</t>
        </is>
      </c>
      <c r="B103" s="2" t="inlineStr">
        <is>
          <t>UFGS_26_51_00.pdf</t>
        </is>
      </c>
      <c r="C103" s="2" t="n">
        <v>1</v>
      </c>
      <c r="D103" s="2" t="n">
        <v>8</v>
      </c>
      <c r="E103" s="2" t="inlineStr">
        <is>
          <t>INTERIOR LIGHTING</t>
        </is>
      </c>
      <c r="F103" s="2" t="inlineStr">
        <is>
          <t>Nē</t>
        </is>
      </c>
      <c r="G103" s="2" t="n"/>
    </row>
    <row r="104">
      <c r="A104" s="2" t="inlineStr">
        <is>
          <t>UFGS_26_51_0-P0001-009</t>
        </is>
      </c>
      <c r="B104" s="2" t="inlineStr">
        <is>
          <t>UFGS_26_51_00.pdf</t>
        </is>
      </c>
      <c r="C104" s="2" t="n">
        <v>1</v>
      </c>
      <c r="D104" s="2" t="n">
        <v>9</v>
      </c>
      <c r="E104" s="2" t="inlineStr">
        <is>
          <t>05/20, CHG 2: 11/21</t>
        </is>
      </c>
      <c r="F104" s="2" t="inlineStr">
        <is>
          <t>Nē</t>
        </is>
      </c>
      <c r="G104" s="2" t="n"/>
    </row>
    <row r="105">
      <c r="A105" s="2" t="inlineStr">
        <is>
          <t>UFGS_26_51_0-P0001-010</t>
        </is>
      </c>
      <c r="B105" s="2" t="inlineStr">
        <is>
          <t>UFGS_26_51_00.pdf</t>
        </is>
      </c>
      <c r="C105" s="2" t="n">
        <v>1</v>
      </c>
      <c r="D105" s="2" t="n">
        <v>10</v>
      </c>
      <c r="E105" s="2" t="inlineStr">
        <is>
          <t>PART 1 GENERAL</t>
        </is>
      </c>
      <c r="F105" s="2" t="inlineStr">
        <is>
          <t>Nē</t>
        </is>
      </c>
      <c r="G105" s="2" t="n"/>
    </row>
    <row r="106">
      <c r="A106" s="2" t="inlineStr">
        <is>
          <t>UFGS_26_51_0-P0001-011</t>
        </is>
      </c>
      <c r="B106" s="2" t="inlineStr">
        <is>
          <t>UFGS_26_51_00.pdf</t>
        </is>
      </c>
      <c r="C106" s="2" t="n">
        <v>1</v>
      </c>
      <c r="D106" s="2" t="n">
        <v>11</v>
      </c>
      <c r="E106" s="2" t="inlineStr">
        <is>
          <t>1.1 REFERENCES</t>
        </is>
      </c>
      <c r="F106" s="2" t="inlineStr">
        <is>
          <t>Nē</t>
        </is>
      </c>
      <c r="G106" s="2" t="n"/>
    </row>
    <row r="107">
      <c r="A107" s="2" t="inlineStr">
        <is>
          <t>UFGS_26_51_0-P0001-012</t>
        </is>
      </c>
      <c r="B107" s="2" t="inlineStr">
        <is>
          <t>UFGS_26_51_00.pdf</t>
        </is>
      </c>
      <c r="C107" s="2" t="n">
        <v>1</v>
      </c>
      <c r="D107" s="2" t="n">
        <v>12</v>
      </c>
      <c r="E107" s="2" t="inlineStr">
        <is>
          <t>1.2 RELATED REQUIREMENTS</t>
        </is>
      </c>
      <c r="F107" s="2" t="inlineStr">
        <is>
          <t>Nē</t>
        </is>
      </c>
      <c r="G107" s="2" t="n"/>
    </row>
    <row r="108">
      <c r="A108" s="2" t="inlineStr">
        <is>
          <t>UFGS_26_51_0-P0001-013</t>
        </is>
      </c>
      <c r="B108" s="2" t="inlineStr">
        <is>
          <t>UFGS_26_51_00.pdf</t>
        </is>
      </c>
      <c r="C108" s="2" t="n">
        <v>1</v>
      </c>
      <c r="D108" s="2" t="n">
        <v>13</v>
      </c>
      <c r="E108" s="2" t="inlineStr">
        <is>
          <t>1.3 DEFINITIONS</t>
        </is>
      </c>
      <c r="F108" s="2" t="inlineStr">
        <is>
          <t>Nē</t>
        </is>
      </c>
      <c r="G108" s="2" t="n"/>
    </row>
    <row r="109">
      <c r="A109" s="2" t="inlineStr">
        <is>
          <t>UFGS_26_51_0-P0001-014</t>
        </is>
      </c>
      <c r="B109" s="2" t="inlineStr">
        <is>
          <t>UFGS_26_51_00.pdf</t>
        </is>
      </c>
      <c r="C109" s="2" t="n">
        <v>1</v>
      </c>
      <c r="D109" s="2" t="n">
        <v>14</v>
      </c>
      <c r="E109" s="2" t="inlineStr">
        <is>
          <t>1.4 SUBMITTALS</t>
        </is>
      </c>
      <c r="F109" s="2" t="inlineStr">
        <is>
          <t>Nē</t>
        </is>
      </c>
      <c r="G109" s="2" t="n"/>
    </row>
    <row r="110">
      <c r="A110" s="2" t="inlineStr">
        <is>
          <t>UFGS_26_51_0-P0001-015</t>
        </is>
      </c>
      <c r="B110" s="2" t="inlineStr">
        <is>
          <t>UFGS_26_51_00.pdf</t>
        </is>
      </c>
      <c r="C110" s="2" t="n">
        <v>1</v>
      </c>
      <c r="D110" s="2" t="n">
        <v>15</v>
      </c>
      <c r="E110" s="2" t="inlineStr">
        <is>
          <t>1.5 QUALITY ASSURANCE</t>
        </is>
      </c>
      <c r="F110" s="2" t="inlineStr">
        <is>
          <t>Nē</t>
        </is>
      </c>
      <c r="G110" s="2" t="n"/>
    </row>
    <row r="111">
      <c r="A111" s="2" t="inlineStr">
        <is>
          <t>UFGS_26_51_0-P0001-016</t>
        </is>
      </c>
      <c r="B111" s="2" t="inlineStr">
        <is>
          <t>UFGS_26_51_00.pdf</t>
        </is>
      </c>
      <c r="C111" s="2" t="n">
        <v>1</v>
      </c>
      <c r="D111" s="2" t="n">
        <v>16</v>
      </c>
      <c r="E111" s="2" t="inlineStr">
        <is>
          <t>1.5.1 Luminaire Drawings 1.5.2 Luminaire Design Data 1.5.3 ANSI/IES LM-79 Test Report 1.5.4 ANSI/IES LM-80 Test Report 1.5.5 ANSI/IES TM-21 Test Report 1.5.6 ANSI/IES TM-30 Test Report 1.5.7 LED Driver and Dimming Switch Compatibility Certificate 1.5.8 Photometric Plan 1.5.8.1 Computer-generated Photometric Plans 1.5.8.2 Schematic Photometric Plan Calculations 1.5.8.3 Final Photometric Plan Calculations 1.5.9 Occupancy/Vacancy Sensor Coverage Layout 1.5.10 Test Laboratories 1.5.11 Regulatory Requirements 1.5.12 Standard Products 1.5.12.1 Alternative Qualifications 1.5.12.2 Material and Equipment Manufacturing Date</t>
        </is>
      </c>
      <c r="F111" s="2" t="inlineStr">
        <is>
          <t>Nē</t>
        </is>
      </c>
      <c r="G111" s="2" t="n"/>
    </row>
    <row r="112">
      <c r="A112" s="2" t="inlineStr">
        <is>
          <t>UFGS_26_51_0-P0001-017</t>
        </is>
      </c>
      <c r="B112" s="2" t="inlineStr">
        <is>
          <t>UFGS_26_51_00.pdf</t>
        </is>
      </c>
      <c r="C112" s="2" t="n">
        <v>1</v>
      </c>
      <c r="D112" s="2" t="n">
        <v>17</v>
      </c>
      <c r="E112" s="2" t="inlineStr">
        <is>
          <t>1.6 WARRANTY</t>
        </is>
      </c>
      <c r="F112" s="2" t="inlineStr">
        <is>
          <t>Nē</t>
        </is>
      </c>
      <c r="G112" s="2" t="n"/>
    </row>
    <row r="113">
      <c r="A113" s="2" t="inlineStr">
        <is>
          <t>UFGS_26_51_0-P0001-018</t>
        </is>
      </c>
      <c r="B113" s="2" t="inlineStr">
        <is>
          <t>UFGS_26_51_00.pdf</t>
        </is>
      </c>
      <c r="C113" s="2" t="n">
        <v>1</v>
      </c>
      <c r="D113" s="2" t="n">
        <v>18</v>
      </c>
      <c r="E113" s="2" t="inlineStr">
        <is>
          <t>1.6.1 Luminaire Warranty 1.6.2 Lighting Controls Warranty</t>
        </is>
      </c>
      <c r="F113" s="2" t="inlineStr">
        <is>
          <t>Nē</t>
        </is>
      </c>
      <c r="G113" s="2" t="n"/>
    </row>
    <row r="114">
      <c r="A114" s="2" t="inlineStr">
        <is>
          <t>UFGS_26_51_0-P0001-019</t>
        </is>
      </c>
      <c r="B114" s="2" t="inlineStr">
        <is>
          <t>UFGS_26_51_00.pdf</t>
        </is>
      </c>
      <c r="C114" s="2" t="n">
        <v>1</v>
      </c>
      <c r="D114" s="2" t="n">
        <v>19</v>
      </c>
      <c r="E114" s="2" t="inlineStr">
        <is>
          <t>1.7 OPERATION AND MAINTENANCE MANUALS</t>
        </is>
      </c>
      <c r="F114" s="2" t="inlineStr">
        <is>
          <t>Nē</t>
        </is>
      </c>
      <c r="G114" s="2" t="n"/>
    </row>
    <row r="115">
      <c r="A115" s="2" t="inlineStr">
        <is>
          <t>UFGS_26_51_0-P0001-020</t>
        </is>
      </c>
      <c r="B115" s="2" t="inlineStr">
        <is>
          <t>UFGS_26_51_00.pdf</t>
        </is>
      </c>
      <c r="C115" s="2" t="n">
        <v>1</v>
      </c>
      <c r="D115" s="2" t="n">
        <v>20</v>
      </c>
      <c r="E115" s="2" t="inlineStr">
        <is>
          <t>1.7.1 Lighting System 1.7.2 Lighting Control System</t>
        </is>
      </c>
      <c r="F115" s="2" t="inlineStr">
        <is>
          <t>Nē</t>
        </is>
      </c>
      <c r="G115" s="2" t="n"/>
    </row>
    <row r="116">
      <c r="A116" s="2" t="inlineStr">
        <is>
          <t>UFGS_26_51_0-P0001-021</t>
        </is>
      </c>
      <c r="B116" s="2" t="inlineStr">
        <is>
          <t>UFGS_26_51_00.pdf</t>
        </is>
      </c>
      <c r="C116" s="2" t="n">
        <v>1</v>
      </c>
      <c r="D116" s="2" t="n">
        <v>21</v>
      </c>
      <c r="E116" s="2" t="inlineStr">
        <is>
          <t>PART 2 PRODUCTS</t>
        </is>
      </c>
      <c r="F116" s="2" t="inlineStr">
        <is>
          <t>Nē</t>
        </is>
      </c>
      <c r="G116" s="2" t="n"/>
    </row>
    <row r="117">
      <c r="A117" s="2" t="inlineStr">
        <is>
          <t>UFGS_26_51_0-P0001-022</t>
        </is>
      </c>
      <c r="B117" s="2" t="inlineStr">
        <is>
          <t>UFGS_26_51_00.pdf</t>
        </is>
      </c>
      <c r="C117" s="2" t="n">
        <v>1</v>
      </c>
      <c r="D117" s="2" t="n">
        <v>22</v>
      </c>
      <c r="E117" s="2" t="inlineStr">
        <is>
          <t>2.1 PRODUCT COORDINATION</t>
        </is>
      </c>
      <c r="F117" s="2" t="inlineStr">
        <is>
          <t>Nē</t>
        </is>
      </c>
      <c r="G117" s="2" t="n"/>
    </row>
    <row r="118">
      <c r="A118" s="2" t="inlineStr">
        <is>
          <t>UFGS_26_51_0-P0001-023</t>
        </is>
      </c>
      <c r="B118" s="2" t="inlineStr">
        <is>
          <t>UFGS_26_51_00.pdf</t>
        </is>
      </c>
      <c r="C118" s="2" t="n">
        <v>1</v>
      </c>
      <c r="D118" s="2" t="n">
        <v>23</v>
      </c>
      <c r="E118" s="2" t="inlineStr">
        <is>
          <t>SECTION 26 51 00 Page 1</t>
        </is>
      </c>
      <c r="F118" s="2" t="inlineStr">
        <is>
          <t>Nē</t>
        </is>
      </c>
      <c r="G118" s="2" t="n"/>
    </row>
    <row r="119">
      <c r="A119" s="2" t="inlineStr">
        <is>
          <t>UFGS_26_51_0-P0019-001</t>
        </is>
      </c>
      <c r="B119" s="2" t="inlineStr">
        <is>
          <t>UFGS_26_51_00.pdf</t>
        </is>
      </c>
      <c r="C119" s="2" t="n">
        <v>19</v>
      </c>
      <c r="D119" s="2" t="n">
        <v>1</v>
      </c>
      <c r="E119" s="2" t="inlineStr">
        <is>
          <t>(1) Software: Failure of input/output to execute switching or dimming commands.</t>
        </is>
      </c>
      <c r="F119" s="2" t="inlineStr">
        <is>
          <t>?</t>
        </is>
      </c>
      <c r="G119" s="2" t="n"/>
    </row>
    <row r="120">
      <c r="A120" s="2" t="inlineStr">
        <is>
          <t>UFGS_26_51_0-P0019-002</t>
        </is>
      </c>
      <c r="B120" s="2" t="inlineStr">
        <is>
          <t>UFGS_26_51_00.pdf</t>
        </is>
      </c>
      <c r="C120" s="2" t="n">
        <v>19</v>
      </c>
      <c r="D120" s="2" t="n">
        <v>2</v>
      </c>
      <c r="E120" s="2" t="inlineStr">
        <is>
          <t>(2) Damage of electronic components due to transient voltage surges.</t>
        </is>
      </c>
      <c r="F120" s="2" t="inlineStr">
        <is>
          <t>?</t>
        </is>
      </c>
      <c r="G120" s="2" t="n"/>
    </row>
    <row r="121">
      <c r="A121" s="2" t="inlineStr">
        <is>
          <t>UFGS_26_51_0-P0019-003</t>
        </is>
      </c>
      <c r="B121" s="2" t="inlineStr">
        <is>
          <t>UFGS_26_51_00.pdf</t>
        </is>
      </c>
      <c r="C121" s="2" t="n">
        <v>19</v>
      </c>
      <c r="D121" s="2" t="n">
        <v>3</v>
      </c>
      <c r="E121" s="2" t="inlineStr">
        <is>
          <t>(3) Failure of control devices, including but not limited to occupancy sensors, photosensors, and manual wall station control devices.</t>
        </is>
      </c>
      <c r="F121" s="2" t="inlineStr">
        <is>
          <t>?</t>
        </is>
      </c>
      <c r="G121" s="2" t="n"/>
    </row>
    <row r="122">
      <c r="A122" s="2" t="inlineStr">
        <is>
          <t>UFGS_26_51_0-P0019-004</t>
        </is>
      </c>
      <c r="B122" s="2" t="inlineStr">
        <is>
          <t>UFGS_26_51_00.pdf</t>
        </is>
      </c>
      <c r="C122" s="2" t="n">
        <v>19</v>
      </c>
      <c r="D122" s="2" t="n">
        <v>4</v>
      </c>
      <c r="E122" s="2" t="inlineStr">
        <is>
          <t>b. Provide a written five year minimum warranty on all input devices against defect in workmanship or materials provided by device manufacturer.</t>
        </is>
      </c>
      <c r="F122" s="2" t="inlineStr">
        <is>
          <t>Jā</t>
        </is>
      </c>
      <c r="G122" s="2" t="n"/>
    </row>
    <row r="123">
      <c r="A123" s="2" t="inlineStr">
        <is>
          <t>UFGS_26_51_0-P0019-005</t>
        </is>
      </c>
      <c r="B123" s="2" t="inlineStr">
        <is>
          <t>UFGS_26_51_00.pdf</t>
        </is>
      </c>
      <c r="C123" s="2" t="n">
        <v>19</v>
      </c>
      <c r="D123" s="2" t="n">
        <v>5</v>
      </c>
      <c r="E123" s="2" t="inlineStr">
        <is>
          <t>c. Provide a written five year minimum warranty on all control components attached to luminaires against defect in workmanship or materials.</t>
        </is>
      </c>
      <c r="F123" s="2" t="inlineStr">
        <is>
          <t>Jā</t>
        </is>
      </c>
      <c r="G123" s="2" t="n"/>
    </row>
    <row r="124">
      <c r="A124" s="2" t="inlineStr">
        <is>
          <t>UFGS_26_51_0-P0019-006</t>
        </is>
      </c>
      <c r="B124" s="2" t="inlineStr">
        <is>
          <t>UFGS_26_51_00.pdf</t>
        </is>
      </c>
      <c r="C124" s="2" t="n">
        <v>19</v>
      </c>
      <c r="D124" s="2" t="n">
        <v>6</v>
      </c>
      <c r="E124" s="2" t="inlineStr">
        <is>
          <t>1.7 OPERATION AND MAINTENANCE MANUALS</t>
        </is>
      </c>
      <c r="F124" s="2" t="inlineStr">
        <is>
          <t>Nē</t>
        </is>
      </c>
      <c r="G124" s="2" t="n"/>
    </row>
    <row r="125">
      <c r="A125" s="2" t="inlineStr">
        <is>
          <t>UFGS_26_51_0-P0019-007</t>
        </is>
      </c>
      <c r="B125" s="2" t="inlineStr">
        <is>
          <t>UFGS_26_51_00.pdf</t>
        </is>
      </c>
      <c r="C125" s="2" t="n">
        <v>19</v>
      </c>
      <c r="D125" s="2" t="n">
        <v>7</v>
      </c>
      <c r="E125" s="2" t="inlineStr">
        <is>
          <t>1.7.1 Lighting System</t>
        </is>
      </c>
      <c r="F125" s="2" t="inlineStr">
        <is>
          <t>Nē</t>
        </is>
      </c>
      <c r="G125" s="2" t="n"/>
    </row>
    <row r="126">
      <c r="A126" s="2" t="inlineStr">
        <is>
          <t>UFGS_26_51_0-P0019-008</t>
        </is>
      </c>
      <c r="B126" s="2" t="inlineStr">
        <is>
          <t>UFGS_26_51_00.pdf</t>
        </is>
      </c>
      <c r="C126" s="2" t="n">
        <v>19</v>
      </c>
      <c r="D126" s="2" t="n">
        <v>8</v>
      </c>
      <c r="E126" s="2" t="inlineStr">
        <is>
          <t>Provide operation and maintenance manuals for the lighting system in accordance with Section 01 78 23 OPERATION AND MAINTENANCE DATA that provide basic data relating to the design, operation, and maintenance of the lighting system for the building.</t>
        </is>
      </c>
      <c r="F126" s="2" t="inlineStr">
        <is>
          <t>Jā</t>
        </is>
      </c>
      <c r="G126" s="2" t="n"/>
    </row>
    <row r="127">
      <c r="A127" s="2" t="inlineStr">
        <is>
          <t>UFGS_26_51_0-P0019-009</t>
        </is>
      </c>
      <c r="B127" s="2" t="inlineStr">
        <is>
          <t>UFGS_26_51_00.pdf</t>
        </is>
      </c>
      <c r="C127" s="2" t="n">
        <v>19</v>
      </c>
      <c r="D127" s="2" t="n">
        <v>9</v>
      </c>
      <c r="E127" s="2" t="inlineStr">
        <is>
          <t>Additional O&amp;M Manual requirements for the Army are provided in Section 01 78 24.00 10 FACILITY DATA REQUIREMENTS.</t>
        </is>
      </c>
      <c r="F127" s="2" t="inlineStr">
        <is>
          <t>Nē</t>
        </is>
      </c>
      <c r="G127" s="2" t="n"/>
    </row>
    <row r="128">
      <c r="A128" s="2" t="inlineStr">
        <is>
          <t>UFGS_26_51_0-P0019-010</t>
        </is>
      </c>
      <c r="B128" s="2" t="inlineStr">
        <is>
          <t>UFGS_26_51_00.pdf</t>
        </is>
      </c>
      <c r="C128" s="2" t="n">
        <v>19</v>
      </c>
      <c r="D128" s="2" t="n">
        <v>10</v>
      </c>
      <c r="E128" s="2" t="inlineStr">
        <is>
          <t>Additional requirements for the Navy are provided in</t>
        </is>
      </c>
      <c r="F128" s="2" t="inlineStr">
        <is>
          <t>Nē</t>
        </is>
      </c>
      <c r="G128" s="2" t="n"/>
    </row>
    <row r="129">
      <c r="A129" s="2" t="inlineStr">
        <is>
          <t>UFGS_26_51_0-P0019-011</t>
        </is>
      </c>
      <c r="B129" s="2" t="inlineStr">
        <is>
          <t>UFGS_26_51_00.pdf</t>
        </is>
      </c>
      <c r="C129" s="2" t="n">
        <v>19</v>
      </c>
      <c r="D129" s="2" t="n">
        <v>11</v>
      </c>
      <c r="E129" s="2" t="inlineStr">
        <is>
          <t>Section 01 78 24.00 20 FACILITY DATA WORKBOOK (FDW).</t>
        </is>
      </c>
      <c r="F129" s="2" t="inlineStr">
        <is>
          <t>Nē</t>
        </is>
      </c>
      <c r="G129" s="2" t="n"/>
    </row>
    <row r="130">
      <c r="A130" s="2" t="inlineStr">
        <is>
          <t>UFGS_26_51_0-P0019-012</t>
        </is>
      </c>
      <c r="B130" s="2" t="inlineStr">
        <is>
          <t>UFGS_26_51_00.pdf</t>
        </is>
      </c>
      <c r="C130" s="2" t="n">
        <v>19</v>
      </c>
      <c r="D130" s="2" t="n">
        <v>12</v>
      </c>
      <c r="E130" s="2" t="inlineStr">
        <is>
          <t>Include the</t>
        </is>
      </c>
      <c r="F130" s="2" t="inlineStr">
        <is>
          <t>Nē</t>
        </is>
      </c>
      <c r="G130" s="2" t="n"/>
    </row>
    <row r="131">
      <c r="A131" s="2" t="inlineStr">
        <is>
          <t>UFGS_26_51_0-P0019-013</t>
        </is>
      </c>
      <c r="B131" s="2" t="inlineStr">
        <is>
          <t>UFGS_26_51_00.pdf</t>
        </is>
      </c>
      <c r="C131" s="2" t="n">
        <v>19</v>
      </c>
      <c r="D131" s="2" t="n">
        <v>13</v>
      </c>
      <c r="E131" s="2" t="inlineStr">
        <is>
          <t>following:</t>
        </is>
      </c>
      <c r="F131" s="2" t="inlineStr">
        <is>
          <t>Nē</t>
        </is>
      </c>
      <c r="G131" s="2" t="n"/>
    </row>
    <row r="132">
      <c r="A132" s="2" t="inlineStr">
        <is>
          <t>UFGS_26_51_0-P0019-014</t>
        </is>
      </c>
      <c r="B132" s="2" t="inlineStr">
        <is>
          <t>UFGS_26_51_00.pdf</t>
        </is>
      </c>
      <c r="C132" s="2" t="n">
        <v>19</v>
      </c>
      <c r="D132" s="2" t="n">
        <v>14</v>
      </c>
      <c r="E132" s="2" t="inlineStr">
        <is>
          <t>a. Manufacturers' operating and maintenance manuals.</t>
        </is>
      </c>
      <c r="F132" s="2" t="inlineStr">
        <is>
          <t>Jā</t>
        </is>
      </c>
      <c r="G132" s="2" t="n"/>
    </row>
    <row r="133">
      <c r="A133" s="2" t="inlineStr">
        <is>
          <t>UFGS_26_51_0-P0019-015</t>
        </is>
      </c>
      <c r="B133" s="2" t="inlineStr">
        <is>
          <t>UFGS_26_51_00.pdf</t>
        </is>
      </c>
      <c r="C133" s="2" t="n">
        <v>19</v>
      </c>
      <c r="D133" s="2" t="n">
        <v>15</v>
      </c>
      <c r="E133" s="2" t="inlineStr">
        <is>
          <t>b. Luminaire shop drawings for modified and custom luminaires.</t>
        </is>
      </c>
      <c r="F133" s="2" t="inlineStr">
        <is>
          <t>Jā</t>
        </is>
      </c>
      <c r="G133" s="2" t="n"/>
    </row>
    <row r="134">
      <c r="A134" s="2" t="inlineStr">
        <is>
          <t>UFGS_26_51_0-P0019-016</t>
        </is>
      </c>
      <c r="B134" s="2" t="inlineStr">
        <is>
          <t>UFGS_26_51_00.pdf</t>
        </is>
      </c>
      <c r="C134" s="2" t="n">
        <v>19</v>
      </c>
      <c r="D134" s="2" t="n">
        <v>16</v>
      </c>
      <c r="E134" s="2" t="inlineStr">
        <is>
          <t>c. Luminaire Manufacturers' standard commercial warranty information as specified in paragraph LUMINAIRE WARRANTY.</t>
        </is>
      </c>
      <c r="F134" s="2" t="inlineStr">
        <is>
          <t>Jā</t>
        </is>
      </c>
      <c r="G134" s="2" t="n"/>
    </row>
    <row r="135">
      <c r="A135" s="2" t="inlineStr">
        <is>
          <t>UFGS_26_51_0-P0019-017</t>
        </is>
      </c>
      <c r="B135" s="2" t="inlineStr">
        <is>
          <t>UFGS_26_51_00.pdf</t>
        </is>
      </c>
      <c r="C135" s="2" t="n">
        <v>19</v>
      </c>
      <c r="D135" s="2" t="n">
        <v>17</v>
      </c>
      <c r="E135" s="2" t="inlineStr">
        <is>
          <t>1.7.2 Lighting Control System</t>
        </is>
      </c>
      <c r="F135" s="2" t="inlineStr">
        <is>
          <t>Nē</t>
        </is>
      </c>
      <c r="G135" s="2" t="n"/>
    </row>
    <row r="136">
      <c r="A136" s="2" t="inlineStr">
        <is>
          <t>UFGS_26_51_0-P0019-018</t>
        </is>
      </c>
      <c r="B136" s="2" t="inlineStr">
        <is>
          <t>UFGS_26_51_00.pdf</t>
        </is>
      </c>
      <c r="C136" s="2" t="n">
        <v>19</v>
      </c>
      <c r="D136" s="2" t="n">
        <v>18</v>
      </c>
      <c r="E136" s="2" t="inlineStr">
        <is>
          <t>NOTE: Lighting control panel schedules are not required for localized control systems.</t>
        </is>
      </c>
      <c r="F136" s="2" t="inlineStr">
        <is>
          <t>Nē</t>
        </is>
      </c>
      <c r="G136" s="2" t="n"/>
    </row>
    <row r="137">
      <c r="A137" s="2" t="inlineStr">
        <is>
          <t>UFGS_26_51_0-P0019-019</t>
        </is>
      </c>
      <c r="B137" s="2" t="inlineStr">
        <is>
          <t>UFGS_26_51_00.pdf</t>
        </is>
      </c>
      <c r="C137" s="2" t="n">
        <v>19</v>
      </c>
      <c r="D137" s="2" t="n">
        <v>19</v>
      </c>
      <c r="E137" s="2" t="inlineStr">
        <is>
          <t>Provide operation and maintenance manuals for the lighting control system in accordance with Section 01 78 23 OPERATION AND MAINTENANCE DATA that provide basic data relating to the design, operation, and maintenance of the lighting control system for the building.</t>
        </is>
      </c>
      <c r="F137" s="2" t="inlineStr">
        <is>
          <t>Jā</t>
        </is>
      </c>
      <c r="G137" s="2" t="n"/>
    </row>
    <row r="138">
      <c r="A138" s="2" t="inlineStr">
        <is>
          <t>UFGS_26_51_0-P0019-020</t>
        </is>
      </c>
      <c r="B138" s="2" t="inlineStr">
        <is>
          <t>UFGS_26_51_00.pdf</t>
        </is>
      </c>
      <c r="C138" s="2" t="n">
        <v>19</v>
      </c>
      <c r="D138" s="2" t="n">
        <v>20</v>
      </c>
      <c r="E138" s="2" t="inlineStr">
        <is>
          <t>Include the following:</t>
        </is>
      </c>
      <c r="F138" s="2" t="inlineStr">
        <is>
          <t>Nē</t>
        </is>
      </c>
      <c r="G138" s="2" t="n"/>
    </row>
    <row r="139">
      <c r="A139" s="2" t="inlineStr">
        <is>
          <t>UFGS_26_51_0-P0019-021</t>
        </is>
      </c>
      <c r="B139" s="2" t="inlineStr">
        <is>
          <t>UFGS_26_51_00.pdf</t>
        </is>
      </c>
      <c r="C139" s="2" t="n">
        <v>19</v>
      </c>
      <c r="D139" s="2" t="n">
        <v>21</v>
      </c>
      <c r="E139" s="2" t="inlineStr">
        <is>
          <t>a. Lighting control system layout and wiring plan.</t>
        </is>
      </c>
      <c r="F139" s="2" t="inlineStr">
        <is>
          <t>Jā</t>
        </is>
      </c>
      <c r="G139" s="2" t="n"/>
    </row>
    <row r="140">
      <c r="A140" s="2" t="inlineStr">
        <is>
          <t>UFGS_26_51_0-P0019-022</t>
        </is>
      </c>
      <c r="B140" s="2" t="inlineStr">
        <is>
          <t>UFGS_26_51_00.pdf</t>
        </is>
      </c>
      <c r="C140" s="2" t="n">
        <v>19</v>
      </c>
      <c r="D140" s="2" t="n">
        <v>22</v>
      </c>
      <c r="E140" s="2" t="inlineStr">
        <is>
          <t>b. Lighting control system one-line diagram.</t>
        </is>
      </c>
      <c r="F140" s="2" t="inlineStr">
        <is>
          <t>Jā</t>
        </is>
      </c>
      <c r="G140" s="2" t="n"/>
    </row>
    <row r="141">
      <c r="A141" s="2" t="inlineStr">
        <is>
          <t>UFGS_26_51_0-P0019-023</t>
        </is>
      </c>
      <c r="B141" s="2" t="inlineStr">
        <is>
          <t>UFGS_26_51_00.pdf</t>
        </is>
      </c>
      <c r="C141" s="2" t="n">
        <v>19</v>
      </c>
      <c r="D141" s="2" t="n">
        <v>23</v>
      </c>
      <c r="E141" s="2" t="inlineStr">
        <is>
          <t>c. Product data for all devices, including installation and programming instructions.</t>
        </is>
      </c>
      <c r="F141" s="2" t="inlineStr">
        <is>
          <t>Jā</t>
        </is>
      </c>
      <c r="G141" s="2" t="n"/>
    </row>
    <row r="142">
      <c r="A142" s="2" t="inlineStr">
        <is>
          <t>UFGS_26_51_0-P0019-024</t>
        </is>
      </c>
      <c r="B142" s="2" t="inlineStr">
        <is>
          <t>UFGS_26_51_00.pdf</t>
        </is>
      </c>
      <c r="C142" s="2" t="n">
        <v>19</v>
      </c>
      <c r="D142" s="2" t="n">
        <v>24</v>
      </c>
      <c r="E142" s="2" t="inlineStr">
        <is>
          <t>d. Occupancy/vacancy sensor coverage layout.</t>
        </is>
      </c>
      <c r="F142" s="2" t="inlineStr">
        <is>
          <t>Jā</t>
        </is>
      </c>
      <c r="G142" s="2" t="n"/>
    </row>
    <row r="143">
      <c r="A143" s="2" t="inlineStr">
        <is>
          <t>UFGS_26_51_0-P0019-025</t>
        </is>
      </c>
      <c r="B143" s="2" t="inlineStr">
        <is>
          <t>UFGS_26_51_00.pdf</t>
        </is>
      </c>
      <c r="C143" s="2" t="n">
        <v>19</v>
      </c>
      <c r="D143" s="2" t="n">
        <v>25</v>
      </c>
      <c r="E143" s="2" t="inlineStr">
        <is>
          <t>e. Training materials, such as videos or in-depth manuals, that cover</t>
        </is>
      </c>
      <c r="F143" s="2" t="inlineStr">
        <is>
          <t>Jā</t>
        </is>
      </c>
      <c r="G143" s="2" t="n"/>
    </row>
    <row r="144">
      <c r="A144" s="2" t="inlineStr">
        <is>
          <t>UFGS_26_51_0-P0019-026</t>
        </is>
      </c>
      <c r="B144" s="2" t="inlineStr">
        <is>
          <t>UFGS_26_51_00.pdf</t>
        </is>
      </c>
      <c r="C144" s="2" t="n">
        <v>19</v>
      </c>
      <c r="D144" s="2" t="n">
        <v>26</v>
      </c>
      <c r="E144" s="2" t="inlineStr">
        <is>
          <t>SECTION 26 51 00 Page 19</t>
        </is>
      </c>
      <c r="F144" s="2" t="inlineStr">
        <is>
          <t>Nē</t>
        </is>
      </c>
      <c r="G144" s="2" t="n"/>
    </row>
    <row r="145">
      <c r="A145" s="2" t="inlineStr">
        <is>
          <t>UFGS_26_51_0-P0022-001</t>
        </is>
      </c>
      <c r="B145" s="2" t="inlineStr">
        <is>
          <t>UFGS_26_51_00.pdf</t>
        </is>
      </c>
      <c r="C145" s="2" t="n">
        <v>22</v>
      </c>
      <c r="D145" s="2" t="n">
        <v>1</v>
      </c>
      <c r="E145" s="2" t="inlineStr">
        <is>
          <t>f. LED driver and light source package, array, or module are accessible for service or replacement without removal or destruction of luminaire.</t>
        </is>
      </c>
      <c r="F145" s="2" t="inlineStr">
        <is>
          <t>Nē</t>
        </is>
      </c>
      <c r="G145" s="2" t="n"/>
    </row>
    <row r="146">
      <c r="A146" s="2" t="inlineStr">
        <is>
          <t>UFGS_26_51_0-P0022-002</t>
        </is>
      </c>
      <c r="B146" s="2" t="inlineStr">
        <is>
          <t>UFGS_26_51_00.pdf</t>
        </is>
      </c>
      <c r="C146" s="2" t="n">
        <v>22</v>
      </c>
      <c r="D146" s="2" t="n">
        <v>2</v>
      </c>
      <c r="E146" s="2" t="inlineStr">
        <is>
          <t>g. Lenses constructed of heat tempered borosilicate glass, UV-resistant acrylic, or silicone.[ Provide polycarbonate vandal-resistant lenses as indicated.] Sandblasting, etching and polishing must be performed as indicated in the luminaire description. [ h.</t>
        </is>
      </c>
      <c r="F146" s="2" t="inlineStr">
        <is>
          <t>Nē</t>
        </is>
      </c>
      <c r="G146" s="2" t="n"/>
    </row>
    <row r="147">
      <c r="A147" s="2" t="inlineStr">
        <is>
          <t>UFGS_26_51_0-P0022-003</t>
        </is>
      </c>
      <c r="B147" s="2" t="inlineStr">
        <is>
          <t>UFGS_26_51_00.pdf</t>
        </is>
      </c>
      <c r="C147" s="2" t="n">
        <v>22</v>
      </c>
      <c r="D147" s="2" t="n">
        <v>3</v>
      </c>
      <c r="E147" s="2" t="inlineStr">
        <is>
          <t>ANSI/IES TM-15.</t>
        </is>
      </c>
      <c r="F147" s="2" t="inlineStr">
        <is>
          <t>Nē</t>
        </is>
      </c>
      <c r="G147" s="2" t="n"/>
    </row>
    <row r="148">
      <c r="A148" s="2" t="inlineStr">
        <is>
          <t>UFGS_26_51_0-P0022-004</t>
        </is>
      </c>
      <c r="B148" s="2" t="inlineStr">
        <is>
          <t>UFGS_26_51_00.pdf</t>
        </is>
      </c>
      <c r="C148" s="2" t="n">
        <v>22</v>
      </c>
      <c r="D148" s="2" t="n">
        <v>4</v>
      </c>
      <c r="E148" s="2" t="inlineStr">
        <is>
          <t>Provide exterior building-mounted luminaires that do not exceed the BUG ratings as listed in the luminaire schedule.</t>
        </is>
      </c>
      <c r="F148" s="2" t="inlineStr">
        <is>
          <t>Nē</t>
        </is>
      </c>
      <c r="G148" s="2" t="n"/>
    </row>
    <row r="149">
      <c r="A149" s="2" t="inlineStr">
        <is>
          <t>UFGS_26_51_0-P0022-005</t>
        </is>
      </c>
      <c r="B149" s="2" t="inlineStr">
        <is>
          <t>UFGS_26_51_00.pdf</t>
        </is>
      </c>
      <c r="C149" s="2" t="n">
        <v>22</v>
      </c>
      <c r="D149" s="2" t="n">
        <v>5</v>
      </c>
      <c r="E149" s="2" t="inlineStr">
        <is>
          <t>If BUG ratings are not listed in the luminaire schedule, provide luminaires that meet the following minimum values for each application and mounting conditions:</t>
        </is>
      </c>
      <c r="F149" s="2" t="inlineStr">
        <is>
          <t>Nē</t>
        </is>
      </c>
      <c r="G149" s="2" t="n"/>
    </row>
    <row r="150">
      <c r="A150" s="2" t="inlineStr">
        <is>
          <t>UFGS_26_51_0-P0022-006</t>
        </is>
      </c>
      <c r="B150" s="2" t="inlineStr">
        <is>
          <t>UFGS_26_51_00.pdf</t>
        </is>
      </c>
      <c r="C150" s="2" t="n">
        <v>22</v>
      </c>
      <c r="D150" s="2" t="n">
        <v>6</v>
      </c>
      <c r="E150" s="2" t="inlineStr">
        <is>
          <t>Lighting Application Mounting Conditions BUG Rating</t>
        </is>
      </c>
      <c r="F150" s="2" t="inlineStr">
        <is>
          <t>Nē</t>
        </is>
      </c>
      <c r="G150" s="2" t="n"/>
    </row>
    <row r="151">
      <c r="A151" s="2" t="inlineStr">
        <is>
          <t>UFGS_26_51_0-P0022-007</t>
        </is>
      </c>
      <c r="B151" s="2" t="inlineStr">
        <is>
          <t>UFGS_26_51_00.pdf</t>
        </is>
      </c>
      <c r="C151" s="2" t="n">
        <v>22</v>
      </c>
      <c r="D151" s="2" t="n">
        <v>7</v>
      </c>
      <c r="E151" s="2" t="inlineStr">
        <is>
          <t>Exterior Wall Sconce Above 1.2 meters 4 feet AFF B1-U0-G2</t>
        </is>
      </c>
      <c r="F151" s="2" t="inlineStr">
        <is>
          <t>Nē</t>
        </is>
      </c>
      <c r="G151" s="2" t="n"/>
    </row>
    <row r="152">
      <c r="A152" s="2" t="inlineStr">
        <is>
          <t>UFGS_26_51_0-P0022-008</t>
        </is>
      </c>
      <c r="B152" s="2" t="inlineStr">
        <is>
          <t>UFGS_26_51_00.pdf</t>
        </is>
      </c>
      <c r="C152" s="2" t="n">
        <v>22</v>
      </c>
      <c r="D152" s="2" t="n">
        <v>8</v>
      </c>
      <c r="E152" s="2" t="inlineStr">
        <is>
          <t>Exterior Wall Sconce Below or at 1.2 meters 4 feet B4-U0-G4</t>
        </is>
      </c>
      <c r="F152" s="2" t="inlineStr">
        <is>
          <t>Nē</t>
        </is>
      </c>
      <c r="G152" s="2" t="n"/>
    </row>
    <row r="153">
      <c r="A153" s="2" t="inlineStr">
        <is>
          <t>UFGS_26_51_0-P0022-009</t>
        </is>
      </c>
      <c r="B153" s="2" t="inlineStr">
        <is>
          <t>UFGS_26_51_00.pdf</t>
        </is>
      </c>
      <c r="C153" s="2" t="n">
        <v>22</v>
      </c>
      <c r="D153" s="2" t="n">
        <v>9</v>
      </c>
      <c r="E153" s="2" t="inlineStr">
        <is>
          <t>AFF</t>
        </is>
      </c>
      <c r="F153" s="2" t="inlineStr">
        <is>
          <t>Nē</t>
        </is>
      </c>
      <c r="G153" s="2" t="n"/>
    </row>
    <row r="154">
      <c r="A154" s="2" t="inlineStr">
        <is>
          <t>UFGS_26_51_0-P0022-010</t>
        </is>
      </c>
      <c r="B154" s="2" t="inlineStr">
        <is>
          <t>UFGS_26_51_00.pdf</t>
        </is>
      </c>
      <c r="C154" s="2" t="n">
        <v>22</v>
      </c>
      <c r="D154" s="2" t="n">
        <v>10</v>
      </c>
      <c r="E154" s="2" t="inlineStr">
        <is>
          <t>Steplight Above 1.2 meters 4 feet AFF B1-U1-G2</t>
        </is>
      </c>
      <c r="F154" s="2" t="inlineStr">
        <is>
          <t>Nē</t>
        </is>
      </c>
      <c r="G154" s="2" t="n"/>
    </row>
    <row r="155">
      <c r="A155" s="2" t="inlineStr">
        <is>
          <t>UFGS_26_51_0-P0022-011</t>
        </is>
      </c>
      <c r="B155" s="2" t="inlineStr">
        <is>
          <t>UFGS_26_51_00.pdf</t>
        </is>
      </c>
      <c r="C155" s="2" t="n">
        <v>22</v>
      </c>
      <c r="D155" s="2" t="n">
        <v>11</v>
      </c>
      <c r="E155" s="2" t="inlineStr">
        <is>
          <t>Steplight Below or at 1.2 meters 4 feet B4-U1-G4</t>
        </is>
      </c>
      <c r="F155" s="2" t="inlineStr">
        <is>
          <t>Nē</t>
        </is>
      </c>
      <c r="G155" s="2" t="n"/>
    </row>
    <row r="156">
      <c r="A156" s="2" t="inlineStr">
        <is>
          <t>UFGS_26_51_0-P0022-012</t>
        </is>
      </c>
      <c r="B156" s="2" t="inlineStr">
        <is>
          <t>UFGS_26_51_00.pdf</t>
        </is>
      </c>
      <c r="C156" s="2" t="n">
        <v>22</v>
      </c>
      <c r="D156" s="2" t="n">
        <v>12</v>
      </c>
      <c r="E156" s="2" t="inlineStr">
        <is>
          <t>Parking Garage Luminaire Ceiling mounted B4-U4-G3 ][i.</t>
        </is>
      </c>
      <c r="F156" s="2" t="inlineStr">
        <is>
          <t>Nē</t>
        </is>
      </c>
      <c r="G156" s="2" t="n"/>
    </row>
    <row r="157">
      <c r="A157" s="2" t="inlineStr">
        <is>
          <t>UFGS_26_51_0-P0022-013</t>
        </is>
      </c>
      <c r="B157" s="2" t="inlineStr">
        <is>
          <t>UFGS_26_51_00.pdf</t>
        </is>
      </c>
      <c r="C157" s="2" t="n">
        <v>22</v>
      </c>
      <c r="D157" s="2" t="n">
        <v>13</v>
      </c>
      <c r="E157" s="2" t="inlineStr">
        <is>
          <t>For all recessed luminaires that are identified to be in contact with insulation, provide luminaires that are IC-rated. ][j.</t>
        </is>
      </c>
      <c r="F157" s="2" t="inlineStr">
        <is>
          <t>Nē</t>
        </is>
      </c>
      <c r="G157" s="2" t="n"/>
    </row>
    <row r="158">
      <c r="A158" s="2" t="inlineStr">
        <is>
          <t>UFGS_26_51_0-P0022-014</t>
        </is>
      </c>
      <c r="B158" s="2" t="inlineStr">
        <is>
          <t>UFGS_26_51_00.pdf</t>
        </is>
      </c>
      <c r="C158" s="2" t="n">
        <v>22</v>
      </c>
      <c r="D158" s="2" t="n">
        <v>14</v>
      </c>
      <c r="E158" s="2" t="inlineStr">
        <is>
          <t>For all recessed luminaires that are to be installed in air plenums, require housings that are Chicago Plenum rated.</t>
        </is>
      </c>
      <c r="F158" s="2" t="inlineStr">
        <is>
          <t>Nē</t>
        </is>
      </c>
      <c r="G158" s="2" t="n"/>
    </row>
    <row r="159">
      <c r="A159" s="2" t="inlineStr">
        <is>
          <t>UFGS_26_51_0-P0022-015</t>
        </is>
      </c>
      <c r="B159" s="2" t="inlineStr">
        <is>
          <t>UFGS_26_51_00.pdf</t>
        </is>
      </c>
      <c r="C159" s="2" t="n">
        <v>22</v>
      </c>
      <c r="D159" s="2" t="n">
        <v>15</v>
      </c>
      <c r="E159" s="2" t="inlineStr">
        <is>
          <t>]2.2.2.1 Luminaire Conversion Kits</t>
        </is>
      </c>
      <c r="F159" s="2" t="inlineStr">
        <is>
          <t>Nē</t>
        </is>
      </c>
      <c r="G159" s="2" t="n"/>
    </row>
    <row r="160">
      <c r="A160" s="2" t="inlineStr">
        <is>
          <t>UFGS_26_51_0-P0022-016</t>
        </is>
      </c>
      <c r="B160" s="2" t="inlineStr">
        <is>
          <t>UFGS_26_51_00.pdf</t>
        </is>
      </c>
      <c r="C160" s="2" t="n">
        <v>22</v>
      </c>
      <c r="D160" s="2" t="n">
        <v>16</v>
      </c>
      <c r="E160" s="2" t="inlineStr">
        <is>
          <t>NOTE: Provide LED luminaire conversion kits to replace non-LED light sources in renovation or energy conservation projects, only where entire luminaires are not replaced.</t>
        </is>
      </c>
      <c r="F160" s="2" t="inlineStr">
        <is>
          <t>Nē</t>
        </is>
      </c>
      <c r="G160" s="2" t="n"/>
    </row>
    <row r="161">
      <c r="A161" s="2" t="inlineStr">
        <is>
          <t>UFGS_26_51_0-P0022-017</t>
        </is>
      </c>
      <c r="B161" s="2" t="inlineStr">
        <is>
          <t>UFGS_26_51_00.pdf</t>
        </is>
      </c>
      <c r="C161" s="2" t="n">
        <v>22</v>
      </c>
      <c r="D161" s="2" t="n">
        <v>17</v>
      </c>
      <c r="E161" s="2" t="inlineStr">
        <is>
          <t>Provide luminaire conversion kits that meet UL 1598C Standard for Light-Emitting Diode (LED) Retrofit Luminaire Conversion Kits.</t>
        </is>
      </c>
      <c r="F161" s="2" t="inlineStr">
        <is>
          <t>Nē</t>
        </is>
      </c>
      <c r="G161" s="2" t="n"/>
    </row>
    <row r="162">
      <c r="A162" s="2" t="inlineStr">
        <is>
          <t>UFGS_26_51_0-P0022-018</t>
        </is>
      </c>
      <c r="B162" s="2" t="inlineStr">
        <is>
          <t>UFGS_26_51_00.pdf</t>
        </is>
      </c>
      <c r="C162" s="2" t="n">
        <v>22</v>
      </c>
      <c r="D162" s="2" t="n">
        <v>18</v>
      </c>
      <c r="E162" s="2" t="inlineStr">
        <is>
          <t>2.2.3 Luminaires for Hazardous Locations</t>
        </is>
      </c>
      <c r="F162" s="2" t="inlineStr">
        <is>
          <t>Nē</t>
        </is>
      </c>
      <c r="G162" s="2" t="n"/>
    </row>
    <row r="163">
      <c r="A163" s="2" t="inlineStr">
        <is>
          <t>UFGS_26_51_0-P0022-019</t>
        </is>
      </c>
      <c r="B163" s="2" t="inlineStr">
        <is>
          <t>UFGS_26_51_00.pdf</t>
        </is>
      </c>
      <c r="C163" s="2" t="n">
        <v>22</v>
      </c>
      <c r="D163" s="2" t="n">
        <v>19</v>
      </c>
      <c r="E163" s="2" t="inlineStr">
        <is>
          <t>In addition to requirements stated herein, provide LED luminaires for hazardous locations which conform to UL 844 or which have Factory Mutual certification for the class and division indicated.</t>
        </is>
      </c>
      <c r="F163" s="2" t="inlineStr">
        <is>
          <t>Nē</t>
        </is>
      </c>
      <c r="G163" s="2" t="n"/>
    </row>
    <row r="164">
      <c r="A164" s="2" t="inlineStr">
        <is>
          <t>UFGS_26_51_0-P0022-020</t>
        </is>
      </c>
      <c r="B164" s="2" t="inlineStr">
        <is>
          <t>UFGS_26_51_00.pdf</t>
        </is>
      </c>
      <c r="C164" s="2" t="n">
        <v>22</v>
      </c>
      <c r="D164" s="2" t="n">
        <v>20</v>
      </c>
      <c r="E164" s="2" t="inlineStr">
        <is>
          <t>2.3 LIGHT SOURCES</t>
        </is>
      </c>
      <c r="F164" s="2" t="inlineStr">
        <is>
          <t>Nē</t>
        </is>
      </c>
      <c r="G164" s="2" t="n"/>
    </row>
    <row r="165">
      <c r="A165" s="2" t="inlineStr">
        <is>
          <t>UFGS_26_51_0-P0022-021</t>
        </is>
      </c>
      <c r="B165" s="2" t="inlineStr">
        <is>
          <t>UFGS_26_51_00.pdf</t>
        </is>
      </c>
      <c r="C165" s="2" t="n">
        <v>22</v>
      </c>
      <c r="D165" s="2" t="n">
        <v>21</v>
      </c>
      <c r="E165" s="2" t="inlineStr">
        <is>
          <t>NEMA ANSLG C78.377, NEMA SSL 3.</t>
        </is>
      </c>
      <c r="F165" s="2" t="inlineStr">
        <is>
          <t>Nē</t>
        </is>
      </c>
      <c r="G165" s="2" t="n"/>
    </row>
    <row r="166">
      <c r="A166" s="2" t="inlineStr">
        <is>
          <t>UFGS_26_51_0-P0022-022</t>
        </is>
      </c>
      <c r="B166" s="2" t="inlineStr">
        <is>
          <t>UFGS_26_51_00.pdf</t>
        </is>
      </c>
      <c r="C166" s="2" t="n">
        <v>22</v>
      </c>
      <c r="D166" s="2" t="n">
        <v>22</v>
      </c>
      <c r="E166" s="2" t="inlineStr">
        <is>
          <t>Provide type, delivered lumen output, and wattage as indicated in the luminaire schedule on project plans.</t>
        </is>
      </c>
      <c r="F166" s="2" t="inlineStr">
        <is>
          <t>Nē</t>
        </is>
      </c>
      <c r="G166" s="2" t="n"/>
    </row>
    <row r="167">
      <c r="A167" s="2" t="inlineStr">
        <is>
          <t>UFGS_26_51_0-P0022-023</t>
        </is>
      </c>
      <c r="B167" s="2" t="inlineStr">
        <is>
          <t>UFGS_26_51_00.pdf</t>
        </is>
      </c>
      <c r="C167" s="2" t="n">
        <v>22</v>
      </c>
      <c r="D167" s="2" t="n">
        <v>23</v>
      </c>
      <c r="E167" s="2" t="inlineStr">
        <is>
          <t>SECTION 26 51 00 Page 22</t>
        </is>
      </c>
      <c r="F167" s="2" t="inlineStr">
        <is>
          <t>Nē</t>
        </is>
      </c>
      <c r="G167" s="2" t="n"/>
    </row>
    <row r="168">
      <c r="A168" s="2" t="inlineStr">
        <is>
          <t>UFGS_26_51_0-P0028-001</t>
        </is>
      </c>
      <c r="B168" s="2" t="inlineStr">
        <is>
          <t>UFGS_26_51_00.pdf</t>
        </is>
      </c>
      <c r="C168" s="2" t="n">
        <v>28</v>
      </c>
      <c r="D168" s="2" t="n">
        <v>1</v>
      </c>
      <c r="E168" s="2" t="inlineStr">
        <is>
          <t>a. Input voltage of [120][277][120-277] at 50/60 Hz, with internal low-voltage VDC power supply as required.</t>
        </is>
      </c>
      <c r="F168" s="2" t="inlineStr">
        <is>
          <t>Nē</t>
        </is>
      </c>
      <c r="G168" s="2" t="n"/>
    </row>
    <row r="169">
      <c r="A169" s="2" t="inlineStr">
        <is>
          <t>UFGS_26_51_0-P0028-002</t>
        </is>
      </c>
      <c r="B169" s="2" t="inlineStr">
        <is>
          <t>UFGS_26_51_00.pdf</t>
        </is>
      </c>
      <c r="C169" s="2" t="n">
        <v>28</v>
      </c>
      <c r="D169" s="2" t="n">
        <v>2</v>
      </c>
      <c r="E169" s="2" t="inlineStr">
        <is>
          <t>b. Solid-state, microprocessor-based, internal astronomical time clock.</t>
        </is>
      </c>
      <c r="F169" s="2" t="inlineStr">
        <is>
          <t>Nē</t>
        </is>
      </c>
      <c r="G169" s="2" t="n"/>
    </row>
    <row r="170">
      <c r="A170" s="2" t="inlineStr">
        <is>
          <t>UFGS_26_51_0-P0028-003</t>
        </is>
      </c>
      <c r="B170" s="2" t="inlineStr">
        <is>
          <t>UFGS_26_51_00.pdf</t>
        </is>
      </c>
      <c r="C170" s="2" t="n">
        <v>28</v>
      </c>
      <c r="D170" s="2" t="n">
        <v>3</v>
      </c>
      <c r="E170" s="2" t="inlineStr">
        <is>
          <t>Microprocessor must have nonvolatile memory and must reset automatically after power interruptions of up to 90 days.</t>
        </is>
      </c>
      <c r="F170" s="2" t="inlineStr">
        <is>
          <t>Nē</t>
        </is>
      </c>
      <c r="G170" s="2" t="n"/>
    </row>
    <row r="171">
      <c r="A171" s="2" t="inlineStr">
        <is>
          <t>UFGS_26_51_0-P0028-004</t>
        </is>
      </c>
      <c r="B171" s="2" t="inlineStr">
        <is>
          <t>UFGS_26_51_00.pdf</t>
        </is>
      </c>
      <c r="C171" s="2" t="n">
        <v>28</v>
      </c>
      <c r="D171" s="2" t="n">
        <v>4</v>
      </c>
      <c r="E171" s="2" t="inlineStr">
        <is>
          <t>c. Interface for providing local programming and control capability, with physical key-locked cover or programmed security access code to prevent unauthorized use.</t>
        </is>
      </c>
      <c r="F171" s="2" t="inlineStr">
        <is>
          <t>Nē</t>
        </is>
      </c>
      <c r="G171" s="2" t="n"/>
    </row>
    <row r="172">
      <c r="A172" s="2" t="inlineStr">
        <is>
          <t>UFGS_26_51_0-P0028-005</t>
        </is>
      </c>
      <c r="B172" s="2" t="inlineStr">
        <is>
          <t>UFGS_26_51_00.pdf</t>
        </is>
      </c>
      <c r="C172" s="2" t="n">
        <v>28</v>
      </c>
      <c r="D172" s="2" t="n">
        <v>5</v>
      </c>
      <c r="E172" s="2" t="inlineStr">
        <is>
          <t>d. Dimming modules capable of [0-10V][DALI] dimming.</t>
        </is>
      </c>
      <c r="F172" s="2" t="inlineStr">
        <is>
          <t>Nē</t>
        </is>
      </c>
      <c r="G172" s="2" t="n"/>
    </row>
    <row r="173">
      <c r="A173" s="2" t="inlineStr">
        <is>
          <t>UFGS_26_51_0-P0028-006</t>
        </is>
      </c>
      <c r="B173" s="2" t="inlineStr">
        <is>
          <t>UFGS_26_51_00.pdf</t>
        </is>
      </c>
      <c r="C173" s="2" t="n">
        <v>28</v>
      </c>
      <c r="D173" s="2" t="n">
        <v>6</v>
      </c>
      <c r="E173" s="2" t="inlineStr">
        <is>
          <t>e. Modules and control panels include multichannel output with [_____] channels, with multiple inputs for manual control, photosensors, and occupancy/vacancy sensors. [ f.</t>
        </is>
      </c>
      <c r="F173" s="2" t="inlineStr">
        <is>
          <t>Nē</t>
        </is>
      </c>
      <c r="G173" s="2" t="n"/>
    </row>
    <row r="174">
      <c r="A174" s="2" t="inlineStr">
        <is>
          <t>UFGS_26_51_0-P0028-007</t>
        </is>
      </c>
      <c r="B174" s="2" t="inlineStr">
        <is>
          <t>UFGS_26_51_00.pdf</t>
        </is>
      </c>
      <c r="C174" s="2" t="n">
        <v>28</v>
      </c>
      <c r="D174" s="2" t="n">
        <v>7</v>
      </c>
      <c r="E174" s="2" t="inlineStr">
        <is>
          <t>Control processor is configured to interface with [BACnet in accordance with Section 23 09 23.02 BACNET DIRECT DIGITAL CONTROL FOR HVAC AND OTHER BUILDING CONTROL SYSTEMS][LONworks in accordance with</t>
        </is>
      </c>
      <c r="F174" s="2" t="inlineStr">
        <is>
          <t>Nē</t>
        </is>
      </c>
      <c r="G174" s="2" t="n"/>
    </row>
    <row r="175">
      <c r="A175" s="2" t="inlineStr">
        <is>
          <t>UFGS_26_51_0-P0028-008</t>
        </is>
      </c>
      <c r="B175" s="2" t="inlineStr">
        <is>
          <t>UFGS_26_51_00.pdf</t>
        </is>
      </c>
      <c r="C175" s="2" t="n">
        <v>28</v>
      </c>
      <c r="D175" s="2" t="n">
        <v>8</v>
      </c>
      <c r="E175" s="2" t="inlineStr">
        <is>
          <t>Section 23 09 23.01 LONWORKS DIRECT DIGITAL CONTROL FOR HVAC AND OTHER</t>
        </is>
      </c>
      <c r="F175" s="2" t="inlineStr">
        <is>
          <t>Nē</t>
        </is>
      </c>
      <c r="G175" s="2" t="n"/>
    </row>
    <row r="176">
      <c r="A176" s="2" t="inlineStr">
        <is>
          <t>UFGS_26_51_0-P0028-009</t>
        </is>
      </c>
      <c r="B176" s="2" t="inlineStr">
        <is>
          <t>UFGS_26_51_00.pdf</t>
        </is>
      </c>
      <c r="C176" s="2" t="n">
        <v>28</v>
      </c>
      <c r="D176" s="2" t="n">
        <v>9</v>
      </c>
      <c r="E176" s="2" t="inlineStr">
        <is>
          <t>BUILDING CONTROL SYSTEMS] compliant network via [native compatibility][gateway]. ][g.</t>
        </is>
      </c>
      <c r="F176" s="2" t="inlineStr">
        <is>
          <t>Nē</t>
        </is>
      </c>
      <c r="G176" s="2" t="n"/>
    </row>
    <row r="177">
      <c r="A177" s="2" t="inlineStr">
        <is>
          <t>UFGS_26_51_0-P0028-010</t>
        </is>
      </c>
      <c r="B177" s="2" t="inlineStr">
        <is>
          <t>UFGS_26_51_00.pdf</t>
        </is>
      </c>
      <c r="C177" s="2" t="n">
        <v>28</v>
      </c>
      <c r="D177" s="2" t="n">
        <v>10</v>
      </c>
      <c r="E177" s="2" t="inlineStr">
        <is>
          <t>Outputs that require line-voltage switching are provided by relays which are designed for 10 years of use at full rated load. ][h.</t>
        </is>
      </c>
      <c r="F177" s="2" t="inlineStr">
        <is>
          <t>Nē</t>
        </is>
      </c>
      <c r="G177" s="2" t="n"/>
    </row>
    <row r="178">
      <c r="A178" s="2" t="inlineStr">
        <is>
          <t>UFGS_26_51_0-P0028-011</t>
        </is>
      </c>
      <c r="B178" s="2" t="inlineStr">
        <is>
          <t>UFGS_26_51_00.pdf</t>
        </is>
      </c>
      <c r="C178" s="2" t="n">
        <v>28</v>
      </c>
      <c r="D178" s="2" t="n">
        <v>11</v>
      </c>
      <c r="E178" s="2" t="inlineStr">
        <is>
          <t>Control processor indicates failure of normal power and which circuits are supplied by alternative power source if connected to emergency lighting units. ][i.</t>
        </is>
      </c>
      <c r="F178" s="2" t="inlineStr">
        <is>
          <t>Nē</t>
        </is>
      </c>
      <c r="G178" s="2" t="n"/>
    </row>
    <row r="179">
      <c r="A179" s="2" t="inlineStr">
        <is>
          <t>UFGS_26_51_0-P0028-012</t>
        </is>
      </c>
      <c r="B179" s="2" t="inlineStr">
        <is>
          <t>UFGS_26_51_00.pdf</t>
        </is>
      </c>
      <c r="C179" s="2" t="n">
        <v>28</v>
      </c>
      <c r="D179" s="2" t="n">
        <v>12</v>
      </c>
      <c r="E179" s="2" t="inlineStr">
        <is>
          <t>Provide building automation system write access points to lighting control system for [manual override][building schedules][utility demand response events]. ][j.</t>
        </is>
      </c>
      <c r="F179" s="2" t="inlineStr">
        <is>
          <t>Nē</t>
        </is>
      </c>
      <c r="G179" s="2" t="n"/>
    </row>
    <row r="180">
      <c r="A180" s="2" t="inlineStr">
        <is>
          <t>UFGS_26_51_0-P0028-013</t>
        </is>
      </c>
      <c r="B180" s="2" t="inlineStr">
        <is>
          <t>UFGS_26_51_00.pdf</t>
        </is>
      </c>
      <c r="C180" s="2" t="n">
        <v>28</v>
      </c>
      <c r="D180" s="2" t="n">
        <v>13</v>
      </c>
      <c r="E180" s="2" t="inlineStr">
        <is>
          <t>Provide building automation read access points to lighting control system for [occupancy status per room or area][current lighting load in kilowatts][calculated energy use in kilowatt-hours][utility demand response priorities].</t>
        </is>
      </c>
      <c r="F180" s="2" t="inlineStr">
        <is>
          <t>Nē</t>
        </is>
      </c>
      <c r="G180" s="2" t="n"/>
    </row>
    <row r="181">
      <c r="A181" s="2" t="inlineStr">
        <is>
          <t>UFGS_26_51_0-P0028-014</t>
        </is>
      </c>
      <c r="B181" s="2" t="inlineStr">
        <is>
          <t>UFGS_26_51_00.pdf</t>
        </is>
      </c>
      <c r="C181" s="2" t="n">
        <v>28</v>
      </c>
      <c r="D181" s="2" t="n">
        <v>14</v>
      </c>
      <c r="E181" s="2" t="inlineStr">
        <is>
          <t>]2.5.1.2.3 Gateway</t>
        </is>
      </c>
      <c r="F181" s="2" t="inlineStr">
        <is>
          <t>Nē</t>
        </is>
      </c>
      <c r="G181" s="2" t="n"/>
    </row>
    <row r="182">
      <c r="A182" s="2" t="inlineStr">
        <is>
          <t>UFGS_26_51_0-P0028-015</t>
        </is>
      </c>
      <c r="B182" s="2" t="inlineStr">
        <is>
          <t>UFGS_26_51_00.pdf</t>
        </is>
      </c>
      <c r="C182" s="2" t="n">
        <v>28</v>
      </c>
      <c r="D182" s="2" t="n">
        <v>15</v>
      </c>
      <c r="E182" s="2" t="inlineStr">
        <is>
          <t>NOTE: When specifying BAS interface, coordinate with HVAC specifier to ensure the requirements are described in both specifications.</t>
        </is>
      </c>
      <c r="F182" s="2" t="inlineStr">
        <is>
          <t>Nē</t>
        </is>
      </c>
      <c r="G182" s="2" t="n"/>
    </row>
    <row r="183">
      <c r="A183" s="2" t="inlineStr">
        <is>
          <t>UFGS_26_51_0-P0028-016</t>
        </is>
      </c>
      <c r="B183" s="2" t="inlineStr">
        <is>
          <t>UFGS_26_51_00.pdf</t>
        </is>
      </c>
      <c r="C183" s="2" t="n">
        <v>28</v>
      </c>
      <c r="D183" s="2" t="n">
        <v>16</v>
      </c>
      <c r="E183" s="2" t="inlineStr">
        <is>
          <t>Include Section</t>
        </is>
      </c>
      <c r="F183" s="2" t="inlineStr">
        <is>
          <t>Nē</t>
        </is>
      </c>
      <c r="G183" s="2" t="n"/>
    </row>
    <row r="184">
      <c r="A184" s="2" t="inlineStr">
        <is>
          <t>UFGS_26_51_0-P0028-017</t>
        </is>
      </c>
      <c r="B184" s="2" t="inlineStr">
        <is>
          <t>UFGS_26_51_00.pdf</t>
        </is>
      </c>
      <c r="C184" s="2" t="n">
        <v>28</v>
      </c>
      <c r="D184" s="2" t="n">
        <v>17</v>
      </c>
      <c r="E184" s="2" t="inlineStr">
        <is>
          <t>25 10 10 UTILITY MONITORING AND CONTROL SYSTEM</t>
        </is>
      </c>
      <c r="F184" s="2" t="inlineStr">
        <is>
          <t>Nē</t>
        </is>
      </c>
      <c r="G184" s="2" t="n"/>
    </row>
    <row r="185">
      <c r="A185" s="2" t="inlineStr">
        <is>
          <t>UFGS_26_51_0-P0028-018</t>
        </is>
      </c>
      <c r="B185" s="2" t="inlineStr">
        <is>
          <t>UFGS_26_51_00.pdf</t>
        </is>
      </c>
      <c r="C185" s="2" t="n">
        <v>28</v>
      </c>
      <c r="D185" s="2" t="n">
        <v>18</v>
      </c>
      <c r="E185" s="2" t="inlineStr">
        <is>
          <t>(UMCS) FRONT END AND INTEGRATION for UMCS and</t>
        </is>
      </c>
      <c r="F185" s="2" t="inlineStr">
        <is>
          <t>Nē</t>
        </is>
      </c>
      <c r="G185" s="2" t="n"/>
    </row>
    <row r="186">
      <c r="A186" s="2" t="inlineStr">
        <is>
          <t>UFGS_26_51_0-P0028-019</t>
        </is>
      </c>
      <c r="B186" s="2" t="inlineStr">
        <is>
          <t>UFGS_26_51_00.pdf</t>
        </is>
      </c>
      <c r="C186" s="2" t="n">
        <v>28</v>
      </c>
      <c r="D186" s="2" t="n">
        <v>19</v>
      </c>
      <c r="E186" s="2" t="inlineStr">
        <is>
          <t>integration requirements.</t>
        </is>
      </c>
      <c r="F186" s="2" t="inlineStr">
        <is>
          <t>Nē</t>
        </is>
      </c>
      <c r="G186" s="2" t="n"/>
    </row>
    <row r="187">
      <c r="A187" s="2" t="inlineStr">
        <is>
          <t>UFGS_26_51_0-P0028-020</t>
        </is>
      </c>
      <c r="B187" s="2" t="inlineStr">
        <is>
          <t>UFGS_26_51_00.pdf</t>
        </is>
      </c>
      <c r="C187" s="2" t="n">
        <v>28</v>
      </c>
      <c r="D187" s="2" t="n">
        <v>20</v>
      </c>
      <c r="E187" s="2" t="inlineStr">
        <is>
          <t>Provide gateway in accordance with Section 25 10 10 UTILITY MONITORING AND CONTROL SYSTEM (UMCS) FRONT END AND INTEGRATION.</t>
        </is>
      </c>
      <c r="F187" s="2" t="inlineStr">
        <is>
          <t>Nē</t>
        </is>
      </c>
      <c r="G187" s="2" t="n"/>
    </row>
    <row r="188">
      <c r="A188" s="2" t="inlineStr">
        <is>
          <t>UFGS_26_51_0-P0028-021</t>
        </is>
      </c>
      <c r="B188" s="2" t="inlineStr">
        <is>
          <t>UFGS_26_51_00.pdf</t>
        </is>
      </c>
      <c r="C188" s="2" t="n">
        <v>28</v>
      </c>
      <c r="D188" s="2" t="n">
        <v>21</v>
      </c>
      <c r="E188" s="2" t="inlineStr">
        <is>
          <t>Provide hardware and software to enable the BAS to monitor, control, display, and record data for use in processing reports.</t>
        </is>
      </c>
      <c r="F188" s="2" t="inlineStr">
        <is>
          <t>Nē</t>
        </is>
      </c>
      <c r="G188" s="2" t="n"/>
    </row>
    <row r="189">
      <c r="A189" s="2" t="inlineStr">
        <is>
          <t>UFGS_26_51_0-P0028-022</t>
        </is>
      </c>
      <c r="B189" s="2" t="inlineStr">
        <is>
          <t>UFGS_26_51_00.pdf</t>
        </is>
      </c>
      <c r="C189" s="2" t="n">
        <v>28</v>
      </c>
      <c r="D189" s="2" t="n">
        <v>22</v>
      </c>
      <c r="E189" s="2" t="inlineStr">
        <is>
          <t>Provide [BACnet][LONworks][_____] communication interface that enables remote control and monitoring of lighting from a workstation according to read access points and write access points listed in this section.</t>
        </is>
      </c>
      <c r="F189" s="2" t="inlineStr">
        <is>
          <t>Nē</t>
        </is>
      </c>
      <c r="G189" s="2" t="n"/>
    </row>
    <row r="190">
      <c r="A190" s="2" t="inlineStr">
        <is>
          <t>UFGS_26_51_0-P0028-023</t>
        </is>
      </c>
      <c r="B190" s="2" t="inlineStr">
        <is>
          <t>UFGS_26_51_00.pdf</t>
        </is>
      </c>
      <c r="C190" s="2" t="n">
        <v>28</v>
      </c>
      <c r="D190" s="2" t="n">
        <v>23</v>
      </c>
      <c r="E190" s="2" t="inlineStr">
        <is>
          <t>Control features and monitoring</t>
        </is>
      </c>
      <c r="F190" s="2" t="inlineStr">
        <is>
          <t>Nē</t>
        </is>
      </c>
      <c r="G190" s="2" t="n"/>
    </row>
    <row r="191">
      <c r="A191" s="2" t="inlineStr">
        <is>
          <t>UFGS_26_51_0-P0028-024</t>
        </is>
      </c>
      <c r="B191" s="2" t="inlineStr">
        <is>
          <t>UFGS_26_51_00.pdf</t>
        </is>
      </c>
      <c r="C191" s="2" t="n">
        <v>28</v>
      </c>
      <c r="D191" s="2" t="n">
        <v>24</v>
      </c>
      <c r="E191" s="2" t="inlineStr">
        <is>
          <t>SECTION 26 51 00 Page 28</t>
        </is>
      </c>
      <c r="F191" s="2" t="inlineStr">
        <is>
          <t>Nē</t>
        </is>
      </c>
      <c r="G191" s="2" t="n"/>
    </row>
    <row r="192">
      <c r="A192" s="2" t="inlineStr">
        <is>
          <t>UFGS_26_51_0-P0031-001</t>
        </is>
      </c>
      <c r="B192" s="2" t="inlineStr">
        <is>
          <t>UFGS_26_51_00.pdf</t>
        </is>
      </c>
      <c r="C192" s="2" t="n">
        <v>31</v>
      </c>
      <c r="D192" s="2" t="n">
        <v>1</v>
      </c>
      <c r="E192" s="2" t="inlineStr">
        <is>
          <t>Select both paragraphs and the section discussing dual tech if dual tech sensors are used.</t>
        </is>
      </c>
      <c r="F192" s="2" t="inlineStr">
        <is>
          <t>Nē</t>
        </is>
      </c>
      <c r="G192" s="2" t="n"/>
    </row>
    <row r="193">
      <c r="A193" s="2" t="inlineStr">
        <is>
          <t>UFGS_26_51_0-P0031-002</t>
        </is>
      </c>
      <c r="B193" s="2" t="inlineStr">
        <is>
          <t>UFGS_26_51_00.pdf</t>
        </is>
      </c>
      <c r="C193" s="2" t="n">
        <v>31</v>
      </c>
      <c r="D193" s="2" t="n">
        <v>2</v>
      </c>
      <c r="E193" s="2" t="inlineStr">
        <is>
          <t>For projects in the state of California, require compliance with CEC Title 24 and CEC Title 20.</t>
        </is>
      </c>
      <c r="F193" s="2" t="inlineStr">
        <is>
          <t>Nē</t>
        </is>
      </c>
      <c r="G193" s="2" t="n"/>
    </row>
    <row r="194">
      <c r="A194" s="2" t="inlineStr">
        <is>
          <t>UFGS_26_51_0-P0031-003</t>
        </is>
      </c>
      <c r="B194" s="2" t="inlineStr">
        <is>
          <t>UFGS_26_51_00.pdf</t>
        </is>
      </c>
      <c r="C194" s="2" t="n">
        <v>31</v>
      </c>
      <c r="D194" s="2" t="n">
        <v>3</v>
      </c>
      <c r="E194" s="2" t="inlineStr">
        <is>
          <t>IEEE C62.41, NEMA WD 1, UL 94, UL 916, UL 508, ASTM D4674 REV A, NEMA WD 7</t>
        </is>
      </c>
      <c r="F194" s="2" t="inlineStr">
        <is>
          <t>Nē</t>
        </is>
      </c>
      <c r="G194" s="2" t="n"/>
    </row>
    <row r="195">
      <c r="A195" s="2" t="inlineStr">
        <is>
          <t>UFGS_26_51_0-P0031-004</t>
        </is>
      </c>
      <c r="B195" s="2" t="inlineStr">
        <is>
          <t>UFGS_26_51_00.pdf</t>
        </is>
      </c>
      <c r="C195" s="2" t="n">
        <v>31</v>
      </c>
      <c r="D195" s="2" t="n">
        <v>4</v>
      </c>
      <c r="E195" s="2" t="inlineStr">
        <is>
          <t>[, CEC Title 24, CEC Title 20].</t>
        </is>
      </c>
      <c r="F195" s="2" t="inlineStr">
        <is>
          <t>Nē</t>
        </is>
      </c>
      <c r="G195" s="2" t="n"/>
    </row>
    <row r="196">
      <c r="A196" s="2" t="inlineStr">
        <is>
          <t>UFGS_26_51_0-P0031-005</t>
        </is>
      </c>
      <c r="B196" s="2" t="inlineStr">
        <is>
          <t>UFGS_26_51_00.pdf</t>
        </is>
      </c>
      <c r="C196" s="2" t="n">
        <v>31</v>
      </c>
      <c r="D196" s="2" t="n">
        <v>5</v>
      </c>
      <c r="E196" s="2" t="inlineStr">
        <is>
          <t>Provide occupancy/vacancy sensors with coverage patterns as indicated on [project plans][manufacturer shop drawings].[ Provide no less quantity of sensors as shown on plans, but add additional sensors when required to fulfill coverage requirement for the specific model of sensor provided.][ Provide sensor types as described in the sequence of operations.</t>
        </is>
      </c>
      <c r="F196" s="2" t="inlineStr">
        <is>
          <t>Nē</t>
        </is>
      </c>
      <c r="G196" s="2" t="n"/>
    </row>
    <row r="197">
      <c r="A197" s="2" t="inlineStr">
        <is>
          <t>UFGS_26_51_0-P0031-006</t>
        </is>
      </c>
      <c r="B197" s="2" t="inlineStr">
        <is>
          <t>UFGS_26_51_00.pdf</t>
        </is>
      </c>
      <c r="C197" s="2" t="n">
        <v>31</v>
      </c>
      <c r="D197" s="2" t="n">
        <v>6</v>
      </c>
      <c r="E197" s="2" t="inlineStr">
        <is>
          <t>Sensor locations and quantities are shown in shop drawings provided by the lighting control system manufacturer.][ Provide occupancy sensor operation that requires movement to activate luminaires controlled and turns luminaires off after a set time of inactivity.][ Provide vacancy sensor operation that requires manual control to activate luminaires and turns luminaires off after a set time of inactivity.] Provide ceiling or wall-mounted occupancy/vacancy sensors that meet the following requirements:</t>
        </is>
      </c>
      <c r="F197" s="2" t="inlineStr">
        <is>
          <t>Nē</t>
        </is>
      </c>
      <c r="G197" s="2" t="n"/>
    </row>
    <row r="198">
      <c r="A198" s="2" t="inlineStr">
        <is>
          <t>UFGS_26_51_0-P0031-007</t>
        </is>
      </c>
      <c r="B198" s="2" t="inlineStr">
        <is>
          <t>UFGS_26_51_00.pdf</t>
        </is>
      </c>
      <c r="C198" s="2" t="n">
        <v>31</v>
      </c>
      <c r="D198" s="2" t="n">
        <v>7</v>
      </c>
      <c r="E198" s="2" t="inlineStr">
        <is>
          <t>a. Operating voltage of [12-24][120-277][120][277] volts.</t>
        </is>
      </c>
      <c r="F198" s="2" t="inlineStr">
        <is>
          <t>Nē</t>
        </is>
      </c>
      <c r="G198" s="2" t="n"/>
    </row>
    <row r="199">
      <c r="A199" s="2" t="inlineStr">
        <is>
          <t>UFGS_26_51_0-P0031-008</t>
        </is>
      </c>
      <c r="B199" s="2" t="inlineStr">
        <is>
          <t>UFGS_26_51_00.pdf</t>
        </is>
      </c>
      <c r="C199" s="2" t="n">
        <v>31</v>
      </c>
      <c r="D199" s="2" t="n">
        <v>8</v>
      </c>
      <c r="E199" s="2" t="inlineStr">
        <is>
          <t>b. Time delay of 30 seconds to 30 minutes with at least four intermediate time delay settings.</t>
        </is>
      </c>
      <c r="F199" s="2" t="inlineStr">
        <is>
          <t>Nē</t>
        </is>
      </c>
      <c r="G199" s="2" t="n"/>
    </row>
    <row r="200">
      <c r="A200" s="2" t="inlineStr">
        <is>
          <t>UFGS_26_51_0-P0031-009</t>
        </is>
      </c>
      <c r="B200" s="2" t="inlineStr">
        <is>
          <t>UFGS_26_51_00.pdf</t>
        </is>
      </c>
      <c r="C200" s="2" t="n">
        <v>31</v>
      </c>
      <c r="D200" s="2" t="n">
        <v>9</v>
      </c>
      <c r="E200" s="2" t="inlineStr">
        <is>
          <t>c. Sensors are [ceiling mounted][wall-box mounted][wall mounted][integral to luminaire].</t>
        </is>
      </c>
      <c r="F200" s="2" t="inlineStr">
        <is>
          <t>Nē</t>
        </is>
      </c>
      <c r="G200" s="2" t="n"/>
    </row>
    <row r="201">
      <c r="A201" s="2" t="inlineStr">
        <is>
          <t>UFGS_26_51_0-P0031-010</t>
        </is>
      </c>
      <c r="B201" s="2" t="inlineStr">
        <is>
          <t>UFGS_26_51_00.pdf</t>
        </is>
      </c>
      <c r="C201" s="2" t="n">
        <v>31</v>
      </c>
      <c r="D201" s="2" t="n">
        <v>10</v>
      </c>
      <c r="E201" s="2" t="inlineStr">
        <is>
          <t>d. [ Does not exceed a maximum load requirement of 20mA at 24VDC.][ No minimum load requirement and be capable of switching from zero to 800 W at 120 VAC, 50/60 Hz and from zero to 1200 W at 277 VAC, 50/60 Hz.][ Networked sensor with no minimum or maximum load.</t>
        </is>
      </c>
      <c r="F201" s="2" t="inlineStr">
        <is>
          <t>Nē</t>
        </is>
      </c>
      <c r="G201" s="2" t="n"/>
    </row>
    <row r="202">
      <c r="A202" s="2" t="inlineStr">
        <is>
          <t>UFGS_26_51_0-P0031-011</t>
        </is>
      </c>
      <c r="B202" s="2" t="inlineStr">
        <is>
          <t>UFGS_26_51_00.pdf</t>
        </is>
      </c>
      <c r="C202" s="2" t="n">
        <v>31</v>
      </c>
      <c r="D202" s="2" t="n">
        <v>11</v>
      </c>
      <c r="E202" s="2" t="inlineStr">
        <is>
          <t>Sensor is programmed to control zones.]</t>
        </is>
      </c>
      <c r="F202" s="2" t="inlineStr">
        <is>
          <t>Nē</t>
        </is>
      </c>
      <c r="G202" s="2" t="n"/>
    </row>
    <row r="203">
      <c r="A203" s="2" t="inlineStr">
        <is>
          <t>UFGS_26_51_0-P0031-012</t>
        </is>
      </c>
      <c r="B203" s="2" t="inlineStr">
        <is>
          <t>UFGS_26_51_00.pdf</t>
        </is>
      </c>
      <c r="C203" s="2" t="n">
        <v>31</v>
      </c>
      <c r="D203" s="2" t="n">
        <v>12</v>
      </c>
      <c r="E203" s="2" t="inlineStr">
        <is>
          <t>e. Shielded or controlled by internal logic to adjust sensitivity to avoid false triggering due to ambient temperature, air temperature variations or HVAC air movement.</t>
        </is>
      </c>
      <c r="F203" s="2" t="inlineStr">
        <is>
          <t>Nē</t>
        </is>
      </c>
      <c r="G203" s="2" t="n"/>
    </row>
    <row r="204">
      <c r="A204" s="2" t="inlineStr">
        <is>
          <t>UFGS_26_51_0-P0031-013</t>
        </is>
      </c>
      <c r="B204" s="2" t="inlineStr">
        <is>
          <t>UFGS_26_51_00.pdf</t>
        </is>
      </c>
      <c r="C204" s="2" t="n">
        <v>31</v>
      </c>
      <c r="D204" s="2" t="n">
        <v>13</v>
      </c>
      <c r="E204" s="2" t="inlineStr">
        <is>
          <t>f. Sensor is equipped to automatically energize the connected load upon loss of normal power when located in a means of egress.</t>
        </is>
      </c>
      <c r="F204" s="2" t="inlineStr">
        <is>
          <t>Nē</t>
        </is>
      </c>
      <c r="G204" s="2" t="n"/>
    </row>
    <row r="205">
      <c r="A205" s="2" t="inlineStr">
        <is>
          <t>UFGS_26_51_0-P0031-014</t>
        </is>
      </c>
      <c r="B205" s="2" t="inlineStr">
        <is>
          <t>UFGS_26_51_00.pdf</t>
        </is>
      </c>
      <c r="C205" s="2" t="n">
        <v>31</v>
      </c>
      <c r="D205" s="2" t="n">
        <v>14</v>
      </c>
      <c r="E205" s="2" t="inlineStr">
        <is>
          <t>g. Occupancy and vacancy operation is field-adjustable and [programmable via lighting control system processor.][programmable with push-button or dip switch on the sensor device.]</t>
        </is>
      </c>
      <c r="F205" s="2" t="inlineStr">
        <is>
          <t>Nē</t>
        </is>
      </c>
      <c r="G205" s="2" t="n"/>
    </row>
    <row r="206">
      <c r="A206" s="2" t="inlineStr">
        <is>
          <t>UFGS_26_51_0-P0031-015</t>
        </is>
      </c>
      <c r="B206" s="2" t="inlineStr">
        <is>
          <t>UFGS_26_51_00.pdf</t>
        </is>
      </c>
      <c r="C206" s="2" t="n">
        <v>31</v>
      </c>
      <c r="D206" s="2" t="n">
        <v>15</v>
      </c>
      <c r="E206" s="2" t="inlineStr">
        <is>
          <t>h. No leakage current to load when in the off mode.</t>
        </is>
      </c>
      <c r="F206" s="2" t="inlineStr">
        <is>
          <t>Nē</t>
        </is>
      </c>
      <c r="G206" s="2" t="n"/>
    </row>
    <row r="207">
      <c r="A207" s="2" t="inlineStr">
        <is>
          <t>UFGS_26_51_0-P0031-016</t>
        </is>
      </c>
      <c r="B207" s="2" t="inlineStr">
        <is>
          <t>UFGS_26_51_00.pdf</t>
        </is>
      </c>
      <c r="C207" s="2" t="n">
        <v>31</v>
      </c>
      <c r="D207" s="2" t="n">
        <v>16</v>
      </c>
      <c r="E207" s="2" t="inlineStr">
        <is>
          <t>i. Utilize zero-crossing circuitry to prevent damage from high inrush current and to promote long life operation. [ j.</t>
        </is>
      </c>
      <c r="F207" s="2" t="inlineStr">
        <is>
          <t>Nē</t>
        </is>
      </c>
      <c r="G207" s="2" t="n"/>
    </row>
    <row r="208">
      <c r="A208" s="2" t="inlineStr">
        <is>
          <t>UFGS_26_51_0-P0031-017</t>
        </is>
      </c>
      <c r="B208" s="2" t="inlineStr">
        <is>
          <t>UFGS_26_51_00.pdf</t>
        </is>
      </c>
      <c r="C208" s="2" t="n">
        <v>31</v>
      </c>
      <c r="D208" s="2" t="n">
        <v>17</v>
      </c>
      <c r="E208" s="2" t="inlineStr">
        <is>
          <t>Allow the adding or deleting of specific luminaires or zones to the assigned sensor without the use of ladders.[ Provide sensors that allow for remote control adjustments of operational parameters (sensitivity, time delay), and that are be able to transmit, receive, and store system information through the lighting control system processor.]</t>
        </is>
      </c>
      <c r="F208" s="2" t="inlineStr">
        <is>
          <t>Nē</t>
        </is>
      </c>
      <c r="G208" s="2" t="n"/>
    </row>
    <row r="209">
      <c r="A209" s="2" t="inlineStr">
        <is>
          <t>UFGS_26_51_0-P0031-018</t>
        </is>
      </c>
      <c r="B209" s="2" t="inlineStr">
        <is>
          <t>UFGS_26_51_00.pdf</t>
        </is>
      </c>
      <c r="C209" s="2" t="n">
        <v>31</v>
      </c>
      <c r="D209" s="2" t="n">
        <v>18</v>
      </c>
      <c r="E209" s="2" t="inlineStr">
        <is>
          <t>SECTION 26 51 00 Page 31</t>
        </is>
      </c>
      <c r="F209" s="2" t="inlineStr">
        <is>
          <t>Nē</t>
        </is>
      </c>
      <c r="G209" s="2" t="n"/>
    </row>
    <row r="210">
      <c r="A210" s="2" t="inlineStr">
        <is>
          <t>UFGS_26_51_0-P0038-001</t>
        </is>
      </c>
      <c r="B210" s="2" t="inlineStr">
        <is>
          <t>UFGS_26_51_00.pdf</t>
        </is>
      </c>
      <c r="C210" s="2" t="n">
        <v>38</v>
      </c>
      <c r="D210" s="2" t="n">
        <v>1</v>
      </c>
      <c r="E210" s="2" t="inlineStr">
        <is>
          <t>hour or more must be enclosed in a box which has a fire resistive rating equal to that of the ceiling.</t>
        </is>
      </c>
      <c r="F210" s="2" t="inlineStr">
        <is>
          <t>Nē</t>
        </is>
      </c>
      <c r="G210" s="2" t="n"/>
    </row>
    <row r="211">
      <c r="A211" s="2" t="inlineStr">
        <is>
          <t>UFGS_26_51_0-P0038-002</t>
        </is>
      </c>
      <c r="B211" s="2" t="inlineStr">
        <is>
          <t>UFGS_26_51_00.pdf</t>
        </is>
      </c>
      <c r="C211" s="2" t="n">
        <v>38</v>
      </c>
      <c r="D211" s="2" t="n">
        <v>2</v>
      </c>
      <c r="E211" s="2" t="inlineStr">
        <is>
          <t>For surface mounted luminaires with brackets, provide flanged metal stem attached to outlet box, with threaded end suitable for supporting the luminaire rigidly in design position.</t>
        </is>
      </c>
      <c r="F211" s="2" t="inlineStr">
        <is>
          <t>Nē</t>
        </is>
      </c>
      <c r="G211" s="2" t="n"/>
    </row>
    <row r="212">
      <c r="A212" s="2" t="inlineStr">
        <is>
          <t>UFGS_26_51_0-P0038-003</t>
        </is>
      </c>
      <c r="B212" s="2" t="inlineStr">
        <is>
          <t>UFGS_26_51_00.pdf</t>
        </is>
      </c>
      <c r="C212" s="2" t="n">
        <v>38</v>
      </c>
      <c r="D212" s="2" t="n">
        <v>3</v>
      </c>
      <c r="E212" s="2" t="inlineStr">
        <is>
          <t>Flanged part of luminaire stud must be of broad base type, secured to outlet box at not fewer than three points.</t>
        </is>
      </c>
      <c r="F212" s="2" t="inlineStr">
        <is>
          <t>Nē</t>
        </is>
      </c>
      <c r="G212" s="2" t="n"/>
    </row>
    <row r="213">
      <c r="A213" s="2" t="inlineStr">
        <is>
          <t>UFGS_26_51_0-P0038-004</t>
        </is>
      </c>
      <c r="B213" s="2" t="inlineStr">
        <is>
          <t>UFGS_26_51_00.pdf</t>
        </is>
      </c>
      <c r="C213" s="2" t="n">
        <v>38</v>
      </c>
      <c r="D213" s="2" t="n">
        <v>4</v>
      </c>
      <c r="E213" s="2" t="inlineStr">
        <is>
          <t>2.7.3 Luminaire Support Hardware</t>
        </is>
      </c>
      <c r="F213" s="2" t="inlineStr">
        <is>
          <t>Nē</t>
        </is>
      </c>
      <c r="G213" s="2" t="n"/>
    </row>
    <row r="214">
      <c r="A214" s="2" t="inlineStr">
        <is>
          <t>UFGS_26_51_0-P0038-005</t>
        </is>
      </c>
      <c r="B214" s="2" t="inlineStr">
        <is>
          <t>UFGS_26_51_00.pdf</t>
        </is>
      </c>
      <c r="C214" s="2" t="n">
        <v>38</v>
      </c>
      <c r="D214" s="2" t="n">
        <v>5</v>
      </c>
      <c r="E214" s="2" t="inlineStr">
        <is>
          <t>2.7.3.1 Wire</t>
        </is>
      </c>
      <c r="F214" s="2" t="inlineStr">
        <is>
          <t>Nē</t>
        </is>
      </c>
      <c r="G214" s="2" t="n"/>
    </row>
    <row r="215">
      <c r="A215" s="2" t="inlineStr">
        <is>
          <t>UFGS_26_51_0-P0038-006</t>
        </is>
      </c>
      <c r="B215" s="2" t="inlineStr">
        <is>
          <t>UFGS_26_51_00.pdf</t>
        </is>
      </c>
      <c r="C215" s="2" t="n">
        <v>38</v>
      </c>
      <c r="D215" s="2" t="n">
        <v>6</v>
      </c>
      <c r="E215" s="2" t="inlineStr">
        <is>
          <t>ASTM A641/A641M.</t>
        </is>
      </c>
      <c r="F215" s="2" t="inlineStr">
        <is>
          <t>Nē</t>
        </is>
      </c>
      <c r="G215" s="2" t="n"/>
    </row>
    <row r="216">
      <c r="A216" s="2" t="inlineStr">
        <is>
          <t>UFGS_26_51_0-P0038-007</t>
        </is>
      </c>
      <c r="B216" s="2" t="inlineStr">
        <is>
          <t>UFGS_26_51_00.pdf</t>
        </is>
      </c>
      <c r="C216" s="2" t="n">
        <v>38</v>
      </c>
      <c r="D216" s="2" t="n">
        <v>7</v>
      </c>
      <c r="E216" s="2" t="inlineStr">
        <is>
          <t>Galvanized, soft tempered steel, minimum 2.7 mm 0.11 inches in diameter, or galvanized, braided steel, minimum 2 mm 0.08 inches in diameter.</t>
        </is>
      </c>
      <c r="F216" s="2" t="inlineStr">
        <is>
          <t>Nē</t>
        </is>
      </c>
      <c r="G216" s="2" t="n"/>
    </row>
    <row r="217">
      <c r="A217" s="2" t="inlineStr">
        <is>
          <t>UFGS_26_51_0-P0038-008</t>
        </is>
      </c>
      <c r="B217" s="2" t="inlineStr">
        <is>
          <t>UFGS_26_51_00.pdf</t>
        </is>
      </c>
      <c r="C217" s="2" t="n">
        <v>38</v>
      </c>
      <c r="D217" s="2" t="n">
        <v>8</v>
      </c>
      <c r="E217" s="2" t="inlineStr">
        <is>
          <t>2.7.3.2 Wire for Humid Spaces</t>
        </is>
      </c>
      <c r="F217" s="2" t="inlineStr">
        <is>
          <t>Nē</t>
        </is>
      </c>
      <c r="G217" s="2" t="n"/>
    </row>
    <row r="218">
      <c r="A218" s="2" t="inlineStr">
        <is>
          <t>UFGS_26_51_0-P0038-009</t>
        </is>
      </c>
      <c r="B218" s="2" t="inlineStr">
        <is>
          <t>UFGS_26_51_00.pdf</t>
        </is>
      </c>
      <c r="C218" s="2" t="n">
        <v>38</v>
      </c>
      <c r="D218" s="2" t="n">
        <v>9</v>
      </c>
      <c r="E218" s="2" t="inlineStr">
        <is>
          <t>NOTE: Select stainless steel or nickel copper alloy wire for facilities where high humidity can be expected such as large kitchens and dishwashing areas.</t>
        </is>
      </c>
      <c r="F218" s="2" t="inlineStr">
        <is>
          <t>Nē</t>
        </is>
      </c>
      <c r="G218" s="2" t="n"/>
    </row>
    <row r="219">
      <c r="A219" s="2" t="inlineStr">
        <is>
          <t>UFGS_26_51_0-P0038-010</t>
        </is>
      </c>
      <c r="B219" s="2" t="inlineStr">
        <is>
          <t>UFGS_26_51_00.pdf</t>
        </is>
      </c>
      <c r="C219" s="2" t="n">
        <v>38</v>
      </c>
      <c r="D219" s="2" t="n">
        <v>10</v>
      </c>
      <c r="E219" s="2" t="inlineStr">
        <is>
          <t>Use nickel copper alloy when hangers are used in indoor pool environments.</t>
        </is>
      </c>
      <c r="F219" s="2" t="inlineStr">
        <is>
          <t>Nē</t>
        </is>
      </c>
      <c r="G219" s="2" t="n"/>
    </row>
    <row r="220">
      <c r="A220" s="2" t="inlineStr">
        <is>
          <t>UFGS_26_51_0-P0038-011</t>
        </is>
      </c>
      <c r="B220" s="2" t="inlineStr">
        <is>
          <t>UFGS_26_51_00.pdf</t>
        </is>
      </c>
      <c r="C220" s="2" t="n">
        <v>38</v>
      </c>
      <c r="D220" s="2" t="n">
        <v>11</v>
      </c>
      <c r="E220" s="2" t="inlineStr">
        <is>
          <t>When spacing of hangar wires exceeds 1.2 meters 4 feet or when heavy luminaires are supported, specify eight or 10 gauge wire.</t>
        </is>
      </c>
      <c r="F220" s="2" t="inlineStr">
        <is>
          <t>Nē</t>
        </is>
      </c>
      <c r="G220" s="2" t="n"/>
    </row>
    <row r="221">
      <c r="A221" s="2" t="inlineStr">
        <is>
          <t>UFGS_26_51_0-P0038-012</t>
        </is>
      </c>
      <c r="B221" s="2" t="inlineStr">
        <is>
          <t>UFGS_26_51_00.pdf</t>
        </is>
      </c>
      <c r="C221" s="2" t="n">
        <v>38</v>
      </c>
      <c r="D221" s="2" t="n">
        <v>12</v>
      </c>
      <c r="E221" s="2" t="inlineStr">
        <is>
          <t>ASTM A580/A580M.</t>
        </is>
      </c>
      <c r="F221" s="2" t="inlineStr">
        <is>
          <t>Nē</t>
        </is>
      </c>
      <c r="G221" s="2" t="n"/>
    </row>
    <row r="222">
      <c r="A222" s="2" t="inlineStr">
        <is>
          <t>UFGS_26_51_0-P0038-013</t>
        </is>
      </c>
      <c r="B222" s="2" t="inlineStr">
        <is>
          <t>UFGS_26_51_00.pdf</t>
        </is>
      </c>
      <c r="C222" s="2" t="n">
        <v>38</v>
      </c>
      <c r="D222" s="2" t="n">
        <v>13</v>
      </c>
      <c r="E222" s="2" t="inlineStr">
        <is>
          <t>Composition 302 or 304, annealed stainless steel, minimum 2.7 mm 0.11 inches in diameter.</t>
        </is>
      </c>
      <c r="F222" s="2" t="inlineStr">
        <is>
          <t>Nē</t>
        </is>
      </c>
      <c r="G222" s="2" t="n"/>
    </row>
    <row r="223">
      <c r="A223" s="2" t="inlineStr">
        <is>
          <t>UFGS_26_51_0-P0038-014</t>
        </is>
      </c>
      <c r="B223" s="2" t="inlineStr">
        <is>
          <t>UFGS_26_51_00.pdf</t>
        </is>
      </c>
      <c r="C223" s="2" t="n">
        <v>38</v>
      </c>
      <c r="D223" s="2" t="n">
        <v>14</v>
      </c>
      <c r="E223" s="2" t="inlineStr">
        <is>
          <t>ASTM B164.</t>
        </is>
      </c>
      <c r="F223" s="2" t="inlineStr">
        <is>
          <t>Nē</t>
        </is>
      </c>
      <c r="G223" s="2" t="n"/>
    </row>
    <row r="224">
      <c r="A224" s="2" t="inlineStr">
        <is>
          <t>UFGS_26_51_0-P0038-015</t>
        </is>
      </c>
      <c r="B224" s="2" t="inlineStr">
        <is>
          <t>UFGS_26_51_00.pdf</t>
        </is>
      </c>
      <c r="C224" s="2" t="n">
        <v>38</v>
      </c>
      <c r="D224" s="2" t="n">
        <v>15</v>
      </c>
      <c r="E224" s="2" t="inlineStr">
        <is>
          <t>UNS NO4400, annealed nickel-copper alloy, minimum 2.7 mm 0.11 inches in diameter.</t>
        </is>
      </c>
      <c r="F224" s="2" t="inlineStr">
        <is>
          <t>Nē</t>
        </is>
      </c>
      <c r="G224" s="2" t="n"/>
    </row>
    <row r="225">
      <c r="A225" s="2" t="inlineStr">
        <is>
          <t>UFGS_26_51_0-P0038-016</t>
        </is>
      </c>
      <c r="B225" s="2" t="inlineStr">
        <is>
          <t>UFGS_26_51_00.pdf</t>
        </is>
      </c>
      <c r="C225" s="2" t="n">
        <v>38</v>
      </c>
      <c r="D225" s="2" t="n">
        <v>16</v>
      </c>
      <c r="E225" s="2" t="inlineStr">
        <is>
          <t>2.7.3.3 Threaded Rods</t>
        </is>
      </c>
      <c r="F225" s="2" t="inlineStr">
        <is>
          <t>Nē</t>
        </is>
      </c>
      <c r="G225" s="2" t="n"/>
    </row>
    <row r="226">
      <c r="A226" s="2" t="inlineStr">
        <is>
          <t>UFGS_26_51_0-P0038-017</t>
        </is>
      </c>
      <c r="B226" s="2" t="inlineStr">
        <is>
          <t>UFGS_26_51_00.pdf</t>
        </is>
      </c>
      <c r="C226" s="2" t="n">
        <v>38</v>
      </c>
      <c r="D226" s="2" t="n">
        <v>17</v>
      </c>
      <c r="E226" s="2" t="inlineStr">
        <is>
          <t>Threaded steel rods, 4.76 mm 3/16 inch diameter, zinc or cadmium coated.</t>
        </is>
      </c>
      <c r="F226" s="2" t="inlineStr">
        <is>
          <t>Nē</t>
        </is>
      </c>
      <c r="G226" s="2" t="n"/>
    </row>
    <row r="227">
      <c r="A227" s="2" t="inlineStr">
        <is>
          <t>UFGS_26_51_0-P0038-018</t>
        </is>
      </c>
      <c r="B227" s="2" t="inlineStr">
        <is>
          <t>UFGS_26_51_00.pdf</t>
        </is>
      </c>
      <c r="C227" s="2" t="n">
        <v>38</v>
      </c>
      <c r="D227" s="2" t="n">
        <v>18</v>
      </c>
      <c r="E227" s="2" t="inlineStr">
        <is>
          <t>2.7.3.4 Straps</t>
        </is>
      </c>
      <c r="F227" s="2" t="inlineStr">
        <is>
          <t>Nē</t>
        </is>
      </c>
      <c r="G227" s="2" t="n"/>
    </row>
    <row r="228">
      <c r="A228" s="2" t="inlineStr">
        <is>
          <t>UFGS_26_51_0-P0038-019</t>
        </is>
      </c>
      <c r="B228" s="2" t="inlineStr">
        <is>
          <t>UFGS_26_51_00.pdf</t>
        </is>
      </c>
      <c r="C228" s="2" t="n">
        <v>38</v>
      </c>
      <c r="D228" s="2" t="n">
        <v>19</v>
      </c>
      <c r="E228" s="2" t="inlineStr">
        <is>
          <t>Galvanized steel, 25 by 4.76 mm one by 3/16 inch, conforming to ASTM A653/A653M, with a light commercial zinc coating or ASTM A1008/A1008M with an electrodeposited zinc coating conforming to ASTM B633, Type RS.</t>
        </is>
      </c>
      <c r="F228" s="2" t="inlineStr">
        <is>
          <t>Nē</t>
        </is>
      </c>
      <c r="G228" s="2" t="n"/>
    </row>
    <row r="229">
      <c r="A229" s="2" t="inlineStr">
        <is>
          <t>UFGS_26_51_0-P0038-020</t>
        </is>
      </c>
      <c r="B229" s="2" t="inlineStr">
        <is>
          <t>UFGS_26_51_00.pdf</t>
        </is>
      </c>
      <c r="C229" s="2" t="n">
        <v>38</v>
      </c>
      <c r="D229" s="2" t="n">
        <v>20</v>
      </c>
      <c r="E229" s="2" t="inlineStr">
        <is>
          <t>2.7.4 Power Hook Luminaire Hangers</t>
        </is>
      </c>
      <c r="F229" s="2" t="inlineStr">
        <is>
          <t>Nē</t>
        </is>
      </c>
      <c r="G229" s="2" t="n"/>
    </row>
    <row r="230">
      <c r="A230" s="2" t="inlineStr">
        <is>
          <t>UFGS_26_51_0-P0038-021</t>
        </is>
      </c>
      <c r="B230" s="2" t="inlineStr">
        <is>
          <t>UFGS_26_51_00.pdf</t>
        </is>
      </c>
      <c r="C230" s="2" t="n">
        <v>38</v>
      </c>
      <c r="D230" s="2" t="n">
        <v>21</v>
      </c>
      <c r="E230" s="2" t="inlineStr">
        <is>
          <t>UL 1598.</t>
        </is>
      </c>
      <c r="F230" s="2" t="inlineStr">
        <is>
          <t>Nē</t>
        </is>
      </c>
      <c r="G230" s="2" t="n"/>
    </row>
    <row r="231">
      <c r="A231" s="2" t="inlineStr">
        <is>
          <t>UFGS_26_51_0-P0038-022</t>
        </is>
      </c>
      <c r="B231" s="2" t="inlineStr">
        <is>
          <t>UFGS_26_51_00.pdf</t>
        </is>
      </c>
      <c r="C231" s="2" t="n">
        <v>38</v>
      </c>
      <c r="D231" s="2" t="n">
        <v>22</v>
      </c>
      <c r="E231" s="2" t="inlineStr">
        <is>
          <t>Provide an assembly consisting of through-wired power hook housing, interlocking plug and receptacle, power cord, and luminaire support loop.</t>
        </is>
      </c>
      <c r="F231" s="2" t="inlineStr">
        <is>
          <t>Nē</t>
        </is>
      </c>
      <c r="G231" s="2" t="n"/>
    </row>
    <row r="232">
      <c r="A232" s="2" t="inlineStr">
        <is>
          <t>UFGS_26_51_0-P0038-023</t>
        </is>
      </c>
      <c r="B232" s="2" t="inlineStr">
        <is>
          <t>UFGS_26_51_00.pdf</t>
        </is>
      </c>
      <c r="C232" s="2" t="n">
        <v>38</v>
      </c>
      <c r="D232" s="2" t="n">
        <v>23</v>
      </c>
      <c r="E232" s="2" t="inlineStr">
        <is>
          <t>Power hook housing must be cast aluminum having two 19 mm 3/4 inch threaded hubs.</t>
        </is>
      </c>
      <c r="F232" s="2" t="inlineStr">
        <is>
          <t>Nē</t>
        </is>
      </c>
      <c r="G232" s="2" t="n"/>
    </row>
    <row r="233">
      <c r="A233" s="2" t="inlineStr">
        <is>
          <t>UFGS_26_51_0-P0038-024</t>
        </is>
      </c>
      <c r="B233" s="2" t="inlineStr">
        <is>
          <t>UFGS_26_51_00.pdf</t>
        </is>
      </c>
      <c r="C233" s="2" t="n">
        <v>38</v>
      </c>
      <c r="D233" s="2" t="n">
        <v>24</v>
      </c>
      <c r="E233" s="2" t="inlineStr">
        <is>
          <t>Support hook must have safety screw.</t>
        </is>
      </c>
      <c r="F233" s="2" t="inlineStr">
        <is>
          <t>Nē</t>
        </is>
      </c>
      <c r="G233" s="2" t="n"/>
    </row>
    <row r="234">
      <c r="A234" s="2" t="inlineStr">
        <is>
          <t>UFGS_26_51_0-P0038-025</t>
        </is>
      </c>
      <c r="B234" s="2" t="inlineStr">
        <is>
          <t>UFGS_26_51_00.pdf</t>
        </is>
      </c>
      <c r="C234" s="2" t="n">
        <v>38</v>
      </c>
      <c r="D234" s="2" t="n">
        <v>25</v>
      </c>
      <c r="E234" s="2" t="inlineStr">
        <is>
          <t>Luminaire support loop must be cast aluminum with provisions for accepting 19 mm 3/4 inch threaded stems.</t>
        </is>
      </c>
      <c r="F234" s="2" t="inlineStr">
        <is>
          <t>Nē</t>
        </is>
      </c>
      <c r="G234" s="2" t="n"/>
    </row>
    <row r="235">
      <c r="A235" s="2" t="inlineStr">
        <is>
          <t>UFGS_26_51_0-P0038-026</t>
        </is>
      </c>
      <c r="B235" s="2" t="inlineStr">
        <is>
          <t>UFGS_26_51_00.pdf</t>
        </is>
      </c>
      <c r="C235" s="2" t="n">
        <v>38</v>
      </c>
      <c r="D235" s="2" t="n">
        <v>26</v>
      </c>
      <c r="E235" s="2" t="inlineStr">
        <is>
          <t>Power cord must include 410 mm 16 inches of 3 conductor No.</t>
        </is>
      </c>
      <c r="F235" s="2" t="inlineStr">
        <is>
          <t>Nē</t>
        </is>
      </c>
      <c r="G235" s="2" t="n"/>
    </row>
    <row r="236">
      <c r="A236" s="2" t="inlineStr">
        <is>
          <t>UFGS_26_51_0-P0038-027</t>
        </is>
      </c>
      <c r="B236" s="2" t="inlineStr">
        <is>
          <t>UFGS_26_51_00.pdf</t>
        </is>
      </c>
      <c r="C236" s="2" t="n">
        <v>38</v>
      </c>
      <c r="D236" s="2" t="n">
        <v>27</v>
      </c>
      <c r="E236" s="2" t="inlineStr">
        <is>
          <t>16 Type SO cord.</t>
        </is>
      </c>
      <c r="F236" s="2" t="inlineStr">
        <is>
          <t>Nē</t>
        </is>
      </c>
      <c r="G236" s="2" t="n"/>
    </row>
    <row r="237">
      <c r="A237" s="2" t="inlineStr">
        <is>
          <t>UFGS_26_51_0-P0038-028</t>
        </is>
      </c>
      <c r="B237" s="2" t="inlineStr">
        <is>
          <t>UFGS_26_51_00.pdf</t>
        </is>
      </c>
      <c r="C237" s="2" t="n">
        <v>38</v>
      </c>
      <c r="D237" s="2" t="n">
        <v>28</v>
      </c>
      <c r="E237" s="2" t="inlineStr">
        <is>
          <t>Assembly must be rated 120 volts or 277 volts, 15 amperes.</t>
        </is>
      </c>
      <c r="F237" s="2" t="inlineStr">
        <is>
          <t>Nē</t>
        </is>
      </c>
      <c r="G237" s="2" t="n"/>
    </row>
    <row r="238">
      <c r="A238" s="2" t="inlineStr">
        <is>
          <t>UFGS_26_51_0-P0038-029</t>
        </is>
      </c>
      <c r="B238" s="2" t="inlineStr">
        <is>
          <t>UFGS_26_51_00.pdf</t>
        </is>
      </c>
      <c r="C238" s="2" t="n">
        <v>38</v>
      </c>
      <c r="D238" s="2" t="n">
        <v>29</v>
      </c>
      <c r="E238" s="2" t="inlineStr">
        <is>
          <t>SECTION 26 51 00 Page 38</t>
        </is>
      </c>
      <c r="F238" s="2" t="inlineStr">
        <is>
          <t>Nē</t>
        </is>
      </c>
      <c r="G238" s="2" t="n"/>
    </row>
    <row r="239">
      <c r="A239" s="2" t="inlineStr">
        <is>
          <t>UFGS_26_56_0-P0012-001</t>
        </is>
      </c>
      <c r="B239" s="2" t="inlineStr">
        <is>
          <t>UFGS_26_56_00.pdf</t>
        </is>
      </c>
      <c r="C239" s="2" t="n">
        <v>12</v>
      </c>
      <c r="D239" s="2" t="n">
        <v>1</v>
      </c>
      <c r="E239" s="2" t="inlineStr">
        <is>
          <t>in Section 01 33 00 SUBMITTAL PROCEDURES and edit the following list, and corresponding submittal items in the text, to reflect only the submittals required for the project.</t>
        </is>
      </c>
      <c r="F239" s="2" t="inlineStr">
        <is>
          <t>Nē</t>
        </is>
      </c>
      <c r="G239" s="2" t="n"/>
    </row>
    <row r="240">
      <c r="A240" s="2" t="inlineStr">
        <is>
          <t>UFGS_26_56_0-P0012-002</t>
        </is>
      </c>
      <c r="B240" s="2" t="inlineStr">
        <is>
          <t>UFGS_26_56_00.pdf</t>
        </is>
      </c>
      <c r="C240" s="2" t="n">
        <v>12</v>
      </c>
      <c r="D240" s="2" t="n">
        <v>2</v>
      </c>
      <c r="E240" s="2" t="inlineStr">
        <is>
          <t>The Guide Specification technical editors have classified those items that require Government approval, due to their complexity or criticality, with a "G." Generally, other submittal items can be reviewed by the Contractor's Quality Control System.</t>
        </is>
      </c>
      <c r="F240" s="2" t="inlineStr">
        <is>
          <t>Nē</t>
        </is>
      </c>
      <c r="G240" s="2" t="n"/>
    </row>
    <row r="241">
      <c r="A241" s="2" t="inlineStr">
        <is>
          <t>UFGS_26_56_0-P0012-003</t>
        </is>
      </c>
      <c r="B241" s="2" t="inlineStr">
        <is>
          <t>UFGS_26_56_00.pdf</t>
        </is>
      </c>
      <c r="C241" s="2" t="n">
        <v>12</v>
      </c>
      <c r="D241" s="2" t="n">
        <v>3</v>
      </c>
      <c r="E241" s="2" t="inlineStr">
        <is>
          <t>Only add a "G" to an item if the submittal is sufficiently important or complex in context of the project.</t>
        </is>
      </c>
      <c r="F241" s="2" t="inlineStr">
        <is>
          <t>Nē</t>
        </is>
      </c>
      <c r="G241" s="2" t="n"/>
    </row>
    <row r="242">
      <c r="A242" s="2" t="inlineStr">
        <is>
          <t>UFGS_26_56_0-P0012-004</t>
        </is>
      </c>
      <c r="B242" s="2" t="inlineStr">
        <is>
          <t>UFGS_26_56_00.pdf</t>
        </is>
      </c>
      <c r="C242" s="2" t="n">
        <v>12</v>
      </c>
      <c r="D242" s="2" t="n">
        <v>4</v>
      </c>
      <c r="E242" s="2" t="inlineStr">
        <is>
          <t>For Army projects, fill in the empty brackets following the "G" classification, with a code of up to three characters to indicate the approving authority.</t>
        </is>
      </c>
      <c r="F242" s="2" t="inlineStr">
        <is>
          <t>Nē</t>
        </is>
      </c>
      <c r="G242" s="2" t="n"/>
    </row>
    <row r="243">
      <c r="A243" s="2" t="inlineStr">
        <is>
          <t>UFGS_26_56_0-P0012-005</t>
        </is>
      </c>
      <c r="B243" s="2" t="inlineStr">
        <is>
          <t>UFGS_26_56_00.pdf</t>
        </is>
      </c>
      <c r="C243" s="2" t="n">
        <v>12</v>
      </c>
      <c r="D243" s="2" t="n">
        <v>5</v>
      </c>
      <c r="E243" s="2" t="inlineStr">
        <is>
          <t>Codes for Army projects using the Resident Management System (RMS) are: "AE" for Architect-Engineer; "DO" for District Office (Engineering Division or other organization in the District Office); "AO" for Area Office; "RO" for Resident Office; and "PO" for Project Office.</t>
        </is>
      </c>
      <c r="F243" s="2" t="inlineStr">
        <is>
          <t>Nē</t>
        </is>
      </c>
      <c r="G243" s="2" t="n"/>
    </row>
    <row r="244">
      <c r="A244" s="2" t="inlineStr">
        <is>
          <t>UFGS_26_56_0-P0012-006</t>
        </is>
      </c>
      <c r="B244" s="2" t="inlineStr">
        <is>
          <t>UFGS_26_56_00.pdf</t>
        </is>
      </c>
      <c r="C244" s="2" t="n">
        <v>12</v>
      </c>
      <c r="D244" s="2" t="n">
        <v>6</v>
      </c>
      <c r="E244" s="2" t="inlineStr">
        <is>
          <t>Codes following the "G" typically are not used for Navy and Air Force projects.</t>
        </is>
      </c>
      <c r="F244" s="2" t="inlineStr">
        <is>
          <t>Nē</t>
        </is>
      </c>
      <c r="G244" s="2" t="n"/>
    </row>
    <row r="245">
      <c r="A245" s="2" t="inlineStr">
        <is>
          <t>UFGS_26_56_0-P0012-007</t>
        </is>
      </c>
      <c r="B245" s="2" t="inlineStr">
        <is>
          <t>UFGS_26_56_00.pdf</t>
        </is>
      </c>
      <c r="C245" s="2" t="n">
        <v>12</v>
      </c>
      <c r="D245" s="2" t="n">
        <v>7</v>
      </c>
      <c r="E245" s="2" t="inlineStr">
        <is>
          <t>The "S" classification indicates submittals required as proof of compliance for sustainability Guiding Principles Validation or Third Party Certification and as described in Section 01 33 00 SUBMITTAL PROCEDURES.</t>
        </is>
      </c>
      <c r="F245" s="2" t="inlineStr">
        <is>
          <t>Nē</t>
        </is>
      </c>
      <c r="G245" s="2" t="n"/>
    </row>
    <row r="246">
      <c r="A246" s="2" t="inlineStr">
        <is>
          <t>UFGS_26_56_0-P0012-008</t>
        </is>
      </c>
      <c r="B246" s="2" t="inlineStr">
        <is>
          <t>UFGS_26_56_00.pdf</t>
        </is>
      </c>
      <c r="C246" s="2" t="n">
        <v>12</v>
      </c>
      <c r="D246" s="2" t="n">
        <v>8</v>
      </c>
      <c r="E246" s="2" t="inlineStr">
        <is>
          <t>NOTE: Luminaire shop drawings are required for custom luminaires, luminaires specified to a specific custom length, or linear luminaires with lengths greater than 2.5 meters 8 feet.</t>
        </is>
      </c>
      <c r="F246" s="2" t="inlineStr">
        <is>
          <t>Nē</t>
        </is>
      </c>
      <c r="G246" s="2" t="n"/>
    </row>
    <row r="247">
      <c r="A247" s="2" t="inlineStr">
        <is>
          <t>UFGS_26_56_0-P0012-009</t>
        </is>
      </c>
      <c r="B247" s="2" t="inlineStr">
        <is>
          <t>UFGS_26_56_00.pdf</t>
        </is>
      </c>
      <c r="C247" s="2" t="n">
        <v>12</v>
      </c>
      <c r="D247" s="2" t="n">
        <v>9</v>
      </c>
      <c r="E247" s="2" t="inlineStr">
        <is>
          <t>Government approval is required for submittals with a "G" or "S" classification.</t>
        </is>
      </c>
      <c r="F247" s="2" t="inlineStr">
        <is>
          <t>Nē</t>
        </is>
      </c>
      <c r="G247" s="2" t="n"/>
    </row>
    <row r="248">
      <c r="A248" s="2" t="inlineStr">
        <is>
          <t>UFGS_26_56_0-P0012-010</t>
        </is>
      </c>
      <c r="B248" s="2" t="inlineStr">
        <is>
          <t>UFGS_26_56_00.pdf</t>
        </is>
      </c>
      <c r="C248" s="2" t="n">
        <v>12</v>
      </c>
      <c r="D248" s="2" t="n">
        <v>10</v>
      </c>
      <c r="E248" s="2" t="inlineStr">
        <is>
          <t>Submittals not having a "G" or "S" classification are for Contractor Quality Control approval.</t>
        </is>
      </c>
      <c r="F248" s="2" t="inlineStr">
        <is>
          <t>Nē</t>
        </is>
      </c>
      <c r="G248" s="2" t="n"/>
    </row>
    <row r="249">
      <c r="A249" s="2" t="inlineStr">
        <is>
          <t>UFGS_26_56_0-P0012-011</t>
        </is>
      </c>
      <c r="B249" s="2" t="inlineStr">
        <is>
          <t>UFGS_26_56_00.pdf</t>
        </is>
      </c>
      <c r="C249" s="2" t="n">
        <v>12</v>
      </c>
      <c r="D249" s="2" t="n">
        <v>11</v>
      </c>
      <c r="E249" s="2" t="inlineStr">
        <is>
          <t>Submittals not having a "G" or "S" classification are for information only.</t>
        </is>
      </c>
      <c r="F249" s="2" t="inlineStr">
        <is>
          <t>Nē</t>
        </is>
      </c>
      <c r="G249" s="2" t="n"/>
    </row>
    <row r="250">
      <c r="A250" s="2" t="inlineStr">
        <is>
          <t>UFGS_26_56_0-P0012-012</t>
        </is>
      </c>
      <c r="B250" s="2" t="inlineStr">
        <is>
          <t>UFGS_26_56_00.pdf</t>
        </is>
      </c>
      <c r="C250" s="2" t="n">
        <v>12</v>
      </c>
      <c r="D250" s="2" t="n">
        <v>12</v>
      </c>
      <c r="E250" s="2" t="inlineStr">
        <is>
          <t>When used, a code following the "G" classification identifies the office that will review the submittal for the Government.</t>
        </is>
      </c>
      <c r="F250" s="2" t="inlineStr">
        <is>
          <t>Nē</t>
        </is>
      </c>
      <c r="G250" s="2" t="n"/>
    </row>
    <row r="251">
      <c r="A251" s="2" t="inlineStr">
        <is>
          <t>UFGS_26_56_0-P0012-013</t>
        </is>
      </c>
      <c r="B251" s="2" t="inlineStr">
        <is>
          <t>UFGS_26_56_00.pdf</t>
        </is>
      </c>
      <c r="C251" s="2" t="n">
        <v>12</v>
      </c>
      <c r="D251" s="2" t="n">
        <v>13</v>
      </c>
      <c r="E251" s="2" t="inlineStr">
        <is>
          <t>Submit the following in accordance with Section 01 33 00 SUBMITTAL PROCEDURES:</t>
        </is>
      </c>
      <c r="F251" s="2" t="inlineStr">
        <is>
          <t>Nē</t>
        </is>
      </c>
      <c r="G251" s="2" t="n"/>
    </row>
    <row r="252">
      <c r="A252" s="2" t="inlineStr">
        <is>
          <t>UFGS_26_56_0-P0012-014</t>
        </is>
      </c>
      <c r="B252" s="2" t="inlineStr">
        <is>
          <t>UFGS_26_56_00.pdf</t>
        </is>
      </c>
      <c r="C252" s="2" t="n">
        <v>12</v>
      </c>
      <c r="D252" s="2" t="n">
        <v>14</v>
      </c>
      <c r="E252" s="2" t="inlineStr">
        <is>
          <t>SD-02 Shop Drawings</t>
        </is>
      </c>
      <c r="F252" s="2" t="inlineStr">
        <is>
          <t>Nē</t>
        </is>
      </c>
      <c r="G252" s="2" t="n"/>
    </row>
    <row r="253">
      <c r="A253" s="2" t="inlineStr">
        <is>
          <t>UFGS_26_56_0-P0012-015</t>
        </is>
      </c>
      <c r="B253" s="2" t="inlineStr">
        <is>
          <t>UFGS_26_56_00.pdf</t>
        </is>
      </c>
      <c r="C253" s="2" t="n">
        <v>12</v>
      </c>
      <c r="D253" s="2" t="n">
        <v>15</v>
      </c>
      <c r="E253" s="2" t="inlineStr">
        <is>
          <t>Luminaire Drawings; G, [_____]</t>
        </is>
      </c>
      <c r="F253" s="2" t="inlineStr">
        <is>
          <t>Nē</t>
        </is>
      </c>
      <c r="G253" s="2" t="n"/>
    </row>
    <row r="254">
      <c r="A254" s="2" t="inlineStr">
        <is>
          <t>UFGS_26_56_0-P0012-016</t>
        </is>
      </c>
      <c r="B254" s="2" t="inlineStr">
        <is>
          <t>UFGS_26_56_00.pdf</t>
        </is>
      </c>
      <c r="C254" s="2" t="n">
        <v>12</v>
      </c>
      <c r="D254" s="2" t="n">
        <v>16</v>
      </c>
      <c r="E254" s="2" t="inlineStr">
        <is>
          <t>Pole Drawings; G, [_____]</t>
        </is>
      </c>
      <c r="F254" s="2" t="inlineStr">
        <is>
          <t>Nē</t>
        </is>
      </c>
      <c r="G254" s="2" t="n"/>
    </row>
    <row r="255">
      <c r="A255" s="2" t="inlineStr">
        <is>
          <t>UFGS_26_56_0-P0012-017</t>
        </is>
      </c>
      <c r="B255" s="2" t="inlineStr">
        <is>
          <t>UFGS_26_56_00.pdf</t>
        </is>
      </c>
      <c r="C255" s="2" t="n">
        <v>12</v>
      </c>
      <c r="D255" s="2" t="n">
        <v>17</v>
      </c>
      <c r="E255" s="2" t="inlineStr">
        <is>
          <t>Control System One-Line Diagram; G, [_____]</t>
        </is>
      </c>
      <c r="F255" s="2" t="inlineStr">
        <is>
          <t>Nē</t>
        </is>
      </c>
      <c r="G255" s="2" t="n"/>
    </row>
    <row r="256">
      <c r="A256" s="2" t="inlineStr">
        <is>
          <t>UFGS_26_56_0-P0012-018</t>
        </is>
      </c>
      <c r="B256" s="2" t="inlineStr">
        <is>
          <t>UFGS_26_56_00.pdf</t>
        </is>
      </c>
      <c r="C256" s="2" t="n">
        <v>12</v>
      </c>
      <c r="D256" s="2" t="n">
        <v>18</v>
      </c>
      <c r="E256" s="2" t="inlineStr">
        <is>
          <t>Sequence of Operation for Exterior Lighting Control System; G, [_____]</t>
        </is>
      </c>
      <c r="F256" s="2" t="inlineStr">
        <is>
          <t>Nē</t>
        </is>
      </c>
      <c r="G256" s="2" t="n"/>
    </row>
    <row r="257">
      <c r="A257" s="2" t="inlineStr">
        <is>
          <t>UFGS_26_56_0-P0012-019</t>
        </is>
      </c>
      <c r="B257" s="2" t="inlineStr">
        <is>
          <t>UFGS_26_56_00.pdf</t>
        </is>
      </c>
      <c r="C257" s="2" t="n">
        <v>12</v>
      </c>
      <c r="D257" s="2" t="n">
        <v>19</v>
      </c>
      <c r="E257" s="2" t="inlineStr">
        <is>
          <t>SD-03 Product Data</t>
        </is>
      </c>
      <c r="F257" s="2" t="inlineStr">
        <is>
          <t>Nē</t>
        </is>
      </c>
      <c r="G257" s="2" t="n"/>
    </row>
    <row r="258">
      <c r="A258" s="2" t="inlineStr">
        <is>
          <t>UFGS_26_56_0-P0012-020</t>
        </is>
      </c>
      <c r="B258" s="2" t="inlineStr">
        <is>
          <t>UFGS_26_56_00.pdf</t>
        </is>
      </c>
      <c r="C258" s="2" t="n">
        <v>12</v>
      </c>
      <c r="D258" s="2" t="n">
        <v>20</v>
      </c>
      <c r="E258" s="2" t="inlineStr">
        <is>
          <t>SECTION 26 56 00 Page 12</t>
        </is>
      </c>
      <c r="F258" s="2" t="inlineStr">
        <is>
          <t>Nē</t>
        </is>
      </c>
      <c r="G258" s="2" t="n"/>
    </row>
    <row r="259">
      <c r="A259" s="2" t="inlineStr">
        <is>
          <t>UFGS_26_56_0-P0017-001</t>
        </is>
      </c>
      <c r="B259" s="2" t="inlineStr">
        <is>
          <t>UFGS_26_56_00.pdf</t>
        </is>
      </c>
      <c r="C259" s="2" t="n">
        <v>17</v>
      </c>
      <c r="D259" s="2" t="n">
        <v>1</v>
      </c>
      <c r="E259" s="2" t="inlineStr">
        <is>
          <t>c. One of the EPA-Recognized Laboratories listed at for LM-80 testing.</t>
        </is>
      </c>
      <c r="F259" s="2" t="inlineStr">
        <is>
          <t>Nē</t>
        </is>
      </c>
      <c r="G259" s="2" t="n"/>
    </row>
    <row r="260">
      <c r="A260" s="2" t="inlineStr">
        <is>
          <t>UFGS_26_56_0-P0017-002</t>
        </is>
      </c>
      <c r="B260" s="2" t="inlineStr">
        <is>
          <t>UFGS_26_56_00.pdf</t>
        </is>
      </c>
      <c r="C260" s="2" t="n">
        <v>17</v>
      </c>
      <c r="D260" s="2" t="n">
        <v>2</v>
      </c>
      <c r="E260" s="2" t="inlineStr">
        <is>
          <t>1.5.10 Regulatory Requirements</t>
        </is>
      </c>
      <c r="F260" s="2" t="inlineStr">
        <is>
          <t>Nē</t>
        </is>
      </c>
      <c r="G260" s="2" t="n"/>
    </row>
    <row r="261">
      <c r="A261" s="2" t="inlineStr">
        <is>
          <t>UFGS_26_56_0-P0017-003</t>
        </is>
      </c>
      <c r="B261" s="2" t="inlineStr">
        <is>
          <t>UFGS_26_56_00.pdf</t>
        </is>
      </c>
      <c r="C261" s="2" t="n">
        <v>17</v>
      </c>
      <c r="D261" s="2" t="n">
        <v>3</v>
      </c>
      <c r="E261" s="2" t="inlineStr">
        <is>
          <t>Equipment, materials, installation, and workmanship must be in accordance with the mandatory provisions of NFPA 70 unless more stringent requirements are specified or indicated.</t>
        </is>
      </c>
      <c r="F261" s="2" t="inlineStr">
        <is>
          <t>Nē</t>
        </is>
      </c>
      <c r="G261" s="2" t="n"/>
    </row>
    <row r="262">
      <c r="A262" s="2" t="inlineStr">
        <is>
          <t>UFGS_26_56_0-P0017-004</t>
        </is>
      </c>
      <c r="B262" s="2" t="inlineStr">
        <is>
          <t>UFGS_26_56_00.pdf</t>
        </is>
      </c>
      <c r="C262" s="2" t="n">
        <v>17</v>
      </c>
      <c r="D262" s="2" t="n">
        <v>4</v>
      </c>
      <c r="E262" s="2" t="inlineStr">
        <is>
          <t>Provide luminaires and assembled components that are approved by and bear the label of UL for the applicable location and conditions unless otherwise specified.</t>
        </is>
      </c>
      <c r="F262" s="2" t="inlineStr">
        <is>
          <t>Nē</t>
        </is>
      </c>
      <c r="G262" s="2" t="n"/>
    </row>
    <row r="263">
      <c r="A263" s="2" t="inlineStr">
        <is>
          <t>UFGS_26_56_0-P0017-005</t>
        </is>
      </c>
      <c r="B263" s="2" t="inlineStr">
        <is>
          <t>UFGS_26_56_00.pdf</t>
        </is>
      </c>
      <c r="C263" s="2" t="n">
        <v>17</v>
      </c>
      <c r="D263" s="2" t="n">
        <v>5</v>
      </c>
      <c r="E263" s="2" t="inlineStr">
        <is>
          <t>1.5.11 Standard Products</t>
        </is>
      </c>
      <c r="F263" s="2" t="inlineStr">
        <is>
          <t>Nē</t>
        </is>
      </c>
      <c r="G263" s="2" t="n"/>
    </row>
    <row r="264">
      <c r="A264" s="2" t="inlineStr">
        <is>
          <t>UFGS_26_56_0-P0017-006</t>
        </is>
      </c>
      <c r="B264" s="2" t="inlineStr">
        <is>
          <t>UFGS_26_56_00.pdf</t>
        </is>
      </c>
      <c r="C264" s="2" t="n">
        <v>17</v>
      </c>
      <c r="D264" s="2" t="n">
        <v>6</v>
      </c>
      <c r="E264" s="2" t="inlineStr">
        <is>
          <t>Provide materials and equipment that are products of manufacturers regularly engaged in the production of such products which are of equal material, design and workmanship.</t>
        </is>
      </c>
      <c r="F264" s="2" t="inlineStr">
        <is>
          <t>Nē</t>
        </is>
      </c>
      <c r="G264" s="2" t="n"/>
    </row>
    <row r="265">
      <c r="A265" s="2" t="inlineStr">
        <is>
          <t>UFGS_26_56_0-P0017-007</t>
        </is>
      </c>
      <c r="B265" s="2" t="inlineStr">
        <is>
          <t>UFGS_26_56_00.pdf</t>
        </is>
      </c>
      <c r="C265" s="2" t="n">
        <v>17</v>
      </c>
      <c r="D265" s="2" t="n">
        <v>7</v>
      </c>
      <c r="E265" s="2" t="inlineStr">
        <is>
          <t>Products must have been in satisfactory commercial or industrial use for six months prior to bid opening.</t>
        </is>
      </c>
      <c r="F265" s="2" t="inlineStr">
        <is>
          <t>Nē</t>
        </is>
      </c>
      <c r="G265" s="2" t="n"/>
    </row>
    <row r="266">
      <c r="A266" s="2" t="inlineStr">
        <is>
          <t>UFGS_26_56_0-P0017-008</t>
        </is>
      </c>
      <c r="B266" s="2" t="inlineStr">
        <is>
          <t>UFGS_26_56_00.pdf</t>
        </is>
      </c>
      <c r="C266" s="2" t="n">
        <v>17</v>
      </c>
      <c r="D266" s="2" t="n">
        <v>8</v>
      </c>
      <c r="E266" s="2" t="inlineStr">
        <is>
          <t>The six-month period must include applications of equipment and materials under similar circumstances and of similar size.</t>
        </is>
      </c>
      <c r="F266" s="2" t="inlineStr">
        <is>
          <t>Nē</t>
        </is>
      </c>
      <c r="G266" s="2" t="n"/>
    </row>
    <row r="267">
      <c r="A267" s="2" t="inlineStr">
        <is>
          <t>UFGS_26_56_0-P0017-009</t>
        </is>
      </c>
      <c r="B267" s="2" t="inlineStr">
        <is>
          <t>UFGS_26_56_00.pdf</t>
        </is>
      </c>
      <c r="C267" s="2" t="n">
        <v>17</v>
      </c>
      <c r="D267" s="2" t="n">
        <v>9</v>
      </c>
      <c r="E267" s="2" t="inlineStr">
        <is>
          <t>The product must have been on sale on the commercial market through advertisements, manufacturers' catalogs, or brochures during the six-month period.</t>
        </is>
      </c>
      <c r="F267" s="2" t="inlineStr">
        <is>
          <t>Nē</t>
        </is>
      </c>
      <c r="G267" s="2" t="n"/>
    </row>
    <row r="268">
      <c r="A268" s="2" t="inlineStr">
        <is>
          <t>UFGS_26_56_0-P0017-010</t>
        </is>
      </c>
      <c r="B268" s="2" t="inlineStr">
        <is>
          <t>UFGS_26_56_00.pdf</t>
        </is>
      </c>
      <c r="C268" s="2" t="n">
        <v>17</v>
      </c>
      <c r="D268" s="2" t="n">
        <v>10</v>
      </c>
      <c r="E268" s="2" t="inlineStr">
        <is>
          <t>Where two or more items of the same class of equipment are required, these items must be products of a single manufacturer; however, the component parts of the item need not be the products of the same manufacturer unless stated in this section.</t>
        </is>
      </c>
      <c r="F268" s="2" t="inlineStr">
        <is>
          <t>Nē</t>
        </is>
      </c>
      <c r="G268" s="2" t="n"/>
    </row>
    <row r="269">
      <c r="A269" s="2" t="inlineStr">
        <is>
          <t>UFGS_26_56_0-P0017-011</t>
        </is>
      </c>
      <c r="B269" s="2" t="inlineStr">
        <is>
          <t>UFGS_26_56_00.pdf</t>
        </is>
      </c>
      <c r="C269" s="2" t="n">
        <v>17</v>
      </c>
      <c r="D269" s="2" t="n">
        <v>11</v>
      </c>
      <c r="E269" s="2" t="inlineStr">
        <is>
          <t>1.5.11.1 Alternative Qualifications</t>
        </is>
      </c>
      <c r="F269" s="2" t="inlineStr">
        <is>
          <t>Nē</t>
        </is>
      </c>
      <c r="G269" s="2" t="n"/>
    </row>
    <row r="270">
      <c r="A270" s="2" t="inlineStr">
        <is>
          <t>UFGS_26_56_0-P0017-012</t>
        </is>
      </c>
      <c r="B270" s="2" t="inlineStr">
        <is>
          <t>UFGS_26_56_00.pdf</t>
        </is>
      </c>
      <c r="C270" s="2" t="n">
        <v>17</v>
      </c>
      <c r="D270" s="2" t="n">
        <v>12</v>
      </c>
      <c r="E270" s="2" t="inlineStr">
        <is>
          <t>Products having less than a six-month field service record will be acceptable if a certified record of satisfactory field operation for not less than 6000 hours, exclusive of the manufacturers' factory or laboratory tests, is furnished.</t>
        </is>
      </c>
      <c r="F270" s="2" t="inlineStr">
        <is>
          <t>?</t>
        </is>
      </c>
      <c r="G270" s="2" t="n"/>
    </row>
    <row r="271">
      <c r="A271" s="2" t="inlineStr">
        <is>
          <t>UFGS_26_56_0-P0017-013</t>
        </is>
      </c>
      <c r="B271" s="2" t="inlineStr">
        <is>
          <t>UFGS_26_56_00.pdf</t>
        </is>
      </c>
      <c r="C271" s="2" t="n">
        <v>17</v>
      </c>
      <c r="D271" s="2" t="n">
        <v>13</v>
      </c>
      <c r="E271" s="2" t="inlineStr">
        <is>
          <t>1.5.11.2 Material and Equipment Manufacturing Date</t>
        </is>
      </c>
      <c r="F271" s="2" t="inlineStr">
        <is>
          <t>Nē</t>
        </is>
      </c>
      <c r="G271" s="2" t="n"/>
    </row>
    <row r="272">
      <c r="A272" s="2" t="inlineStr">
        <is>
          <t>UFGS_26_56_0-P0017-014</t>
        </is>
      </c>
      <c r="B272" s="2" t="inlineStr">
        <is>
          <t>UFGS_26_56_00.pdf</t>
        </is>
      </c>
      <c r="C272" s="2" t="n">
        <v>17</v>
      </c>
      <c r="D272" s="2" t="n">
        <v>14</v>
      </c>
      <c r="E272" s="2" t="inlineStr">
        <is>
          <t>Do not use products manufactured more than six months prior to date of delivery to site, unless specified otherwise.</t>
        </is>
      </c>
      <c r="F272" s="2" t="inlineStr">
        <is>
          <t>Nē</t>
        </is>
      </c>
      <c r="G272" s="2" t="n"/>
    </row>
    <row r="273">
      <c r="A273" s="2" t="inlineStr">
        <is>
          <t>UFGS_26_56_0-P0017-015</t>
        </is>
      </c>
      <c r="B273" s="2" t="inlineStr">
        <is>
          <t>UFGS_26_56_00.pdf</t>
        </is>
      </c>
      <c r="C273" s="2" t="n">
        <v>17</v>
      </c>
      <c r="D273" s="2" t="n">
        <v>15</v>
      </c>
      <c r="E273" s="2" t="inlineStr">
        <is>
          <t>1.6 DELIVERY, STORAGE, AND HANDLING OF POLES</t>
        </is>
      </c>
      <c r="F273" s="2" t="inlineStr">
        <is>
          <t>Nē</t>
        </is>
      </c>
      <c r="G273" s="2" t="n"/>
    </row>
    <row r="274">
      <c r="A274" s="2" t="inlineStr">
        <is>
          <t>UFGS_26_56_0-P0017-016</t>
        </is>
      </c>
      <c r="B274" s="2" t="inlineStr">
        <is>
          <t>UFGS_26_56_00.pdf</t>
        </is>
      </c>
      <c r="C274" s="2" t="n">
        <v>17</v>
      </c>
      <c r="D274" s="2" t="n">
        <v>16</v>
      </c>
      <c r="E274" s="2" t="inlineStr">
        <is>
          <t>1.6.1 Aluminum Poles</t>
        </is>
      </c>
      <c r="F274" s="2" t="inlineStr">
        <is>
          <t>Nē</t>
        </is>
      </c>
      <c r="G274" s="2" t="n"/>
    </row>
    <row r="275">
      <c r="A275" s="2" t="inlineStr">
        <is>
          <t>UFGS_26_56_0-P0017-017</t>
        </is>
      </c>
      <c r="B275" s="2" t="inlineStr">
        <is>
          <t>UFGS_26_56_00.pdf</t>
        </is>
      </c>
      <c r="C275" s="2" t="n">
        <v>17</v>
      </c>
      <c r="D275" s="2" t="n">
        <v>17</v>
      </c>
      <c r="E275" s="2" t="inlineStr">
        <is>
          <t>Do not store poles on ground.</t>
        </is>
      </c>
      <c r="F275" s="2" t="inlineStr">
        <is>
          <t>Nē</t>
        </is>
      </c>
      <c r="G275" s="2" t="n"/>
    </row>
    <row r="276">
      <c r="A276" s="2" t="inlineStr">
        <is>
          <t>UFGS_26_56_0-P0017-018</t>
        </is>
      </c>
      <c r="B276" s="2" t="inlineStr">
        <is>
          <t>UFGS_26_56_00.pdf</t>
        </is>
      </c>
      <c r="C276" s="2" t="n">
        <v>17</v>
      </c>
      <c r="D276" s="2" t="n">
        <v>18</v>
      </c>
      <c r="E276" s="2" t="inlineStr">
        <is>
          <t>Support poles so they are at least 305 mm one foot above ground level and growing vegetation.</t>
        </is>
      </c>
      <c r="F276" s="2" t="inlineStr">
        <is>
          <t>Nē</t>
        </is>
      </c>
      <c r="G276" s="2" t="n"/>
    </row>
    <row r="277">
      <c r="A277" s="2" t="inlineStr">
        <is>
          <t>UFGS_26_56_0-P0017-019</t>
        </is>
      </c>
      <c r="B277" s="2" t="inlineStr">
        <is>
          <t>UFGS_26_56_00.pdf</t>
        </is>
      </c>
      <c r="C277" s="2" t="n">
        <v>17</v>
      </c>
      <c r="D277" s="2" t="n">
        <v>19</v>
      </c>
      <c r="E277" s="2" t="inlineStr">
        <is>
          <t>Do not remove factory-applied pole wrappings until just before installing pole.</t>
        </is>
      </c>
      <c r="F277" s="2" t="inlineStr">
        <is>
          <t>Nē</t>
        </is>
      </c>
      <c r="G277" s="2" t="n"/>
    </row>
    <row r="278">
      <c r="A278" s="2" t="inlineStr">
        <is>
          <t>UFGS_26_56_0-P0017-020</t>
        </is>
      </c>
      <c r="B278" s="2" t="inlineStr">
        <is>
          <t>UFGS_26_56_00.pdf</t>
        </is>
      </c>
      <c r="C278" s="2" t="n">
        <v>17</v>
      </c>
      <c r="D278" s="2" t="n">
        <v>20</v>
      </c>
      <c r="E278" s="2" t="inlineStr">
        <is>
          <t>1.6.2 Steel Poles</t>
        </is>
      </c>
      <c r="F278" s="2" t="inlineStr">
        <is>
          <t>Nē</t>
        </is>
      </c>
      <c r="G278" s="2" t="n"/>
    </row>
    <row r="279">
      <c r="A279" s="2" t="inlineStr">
        <is>
          <t>UFGS_26_56_0-P0017-021</t>
        </is>
      </c>
      <c r="B279" s="2" t="inlineStr">
        <is>
          <t>UFGS_26_56_00.pdf</t>
        </is>
      </c>
      <c r="C279" s="2" t="n">
        <v>17</v>
      </c>
      <c r="D279" s="2" t="n">
        <v>21</v>
      </c>
      <c r="E279" s="2" t="inlineStr">
        <is>
          <t>1.6.3 Wood Poles</t>
        </is>
      </c>
      <c r="F279" s="2" t="inlineStr">
        <is>
          <t>Nē</t>
        </is>
      </c>
      <c r="G279" s="2" t="n"/>
    </row>
    <row r="280">
      <c r="A280" s="2" t="inlineStr">
        <is>
          <t>UFGS_26_56_0-P0017-022</t>
        </is>
      </c>
      <c r="B280" s="2" t="inlineStr">
        <is>
          <t>UFGS_26_56_00.pdf</t>
        </is>
      </c>
      <c r="C280" s="2" t="n">
        <v>17</v>
      </c>
      <c r="D280" s="2" t="n">
        <v>22</v>
      </c>
      <c r="E280" s="2" t="inlineStr">
        <is>
          <t>Stack poles stored for more than 2 weeks on decay-resisting skids arranged to support the poles without producing noticeable distortion.</t>
        </is>
      </c>
      <c r="F280" s="2" t="inlineStr">
        <is>
          <t>Nē</t>
        </is>
      </c>
      <c r="G280" s="2" t="n"/>
    </row>
    <row r="281">
      <c r="A281" s="2" t="inlineStr">
        <is>
          <t>UFGS_26_56_0-P0017-023</t>
        </is>
      </c>
      <c r="B281" s="2" t="inlineStr">
        <is>
          <t>UFGS_26_56_00.pdf</t>
        </is>
      </c>
      <c r="C281" s="2" t="n">
        <v>17</v>
      </c>
      <c r="D281" s="2" t="n">
        <v>23</v>
      </c>
      <c r="E281" s="2" t="inlineStr">
        <is>
          <t>Store poles to permit free circulation of air; the bottom poles in the stack must be at least 305 mm one foot above ground level and growing vegetation.</t>
        </is>
      </c>
      <c r="F281" s="2" t="inlineStr">
        <is>
          <t>Nē</t>
        </is>
      </c>
      <c r="G281" s="2" t="n"/>
    </row>
    <row r="282">
      <c r="A282" s="2" t="inlineStr">
        <is>
          <t>UFGS_26_56_0-P0017-024</t>
        </is>
      </c>
      <c r="B282" s="2" t="inlineStr">
        <is>
          <t>UFGS_26_56_00.pdf</t>
        </is>
      </c>
      <c r="C282" s="2" t="n">
        <v>17</v>
      </c>
      <c r="D282" s="2" t="n">
        <v>24</v>
      </c>
      <c r="E282" s="2" t="inlineStr">
        <is>
          <t>Do not permit decayed or decaying wood to remain underneath stored poles.</t>
        </is>
      </c>
      <c r="F282" s="2" t="inlineStr">
        <is>
          <t>Nē</t>
        </is>
      </c>
      <c r="G282" s="2" t="n"/>
    </row>
    <row r="283">
      <c r="A283" s="2" t="inlineStr">
        <is>
          <t>UFGS_26_56_0-P0017-025</t>
        </is>
      </c>
      <c r="B283" s="2" t="inlineStr">
        <is>
          <t>UFGS_26_56_00.pdf</t>
        </is>
      </c>
      <c r="C283" s="2" t="n">
        <v>17</v>
      </c>
      <c r="D283" s="2" t="n">
        <v>25</v>
      </c>
      <c r="E283" s="2" t="inlineStr">
        <is>
          <t>Do not drag treated poles along the</t>
        </is>
      </c>
      <c r="F283" s="2" t="inlineStr">
        <is>
          <t>Nē</t>
        </is>
      </c>
      <c r="G283" s="2" t="n"/>
    </row>
    <row r="284">
      <c r="A284" s="2" t="inlineStr">
        <is>
          <t>UFGS_26_56_0-P0017-026</t>
        </is>
      </c>
      <c r="B284" s="2" t="inlineStr">
        <is>
          <t>UFGS_26_56_00.pdf</t>
        </is>
      </c>
      <c r="C284" s="2" t="n">
        <v>17</v>
      </c>
      <c r="D284" s="2" t="n">
        <v>26</v>
      </c>
      <c r="E284" s="2" t="inlineStr">
        <is>
          <t>SECTION 26 56 00 Page 17</t>
        </is>
      </c>
      <c r="F284" s="2" t="inlineStr">
        <is>
          <t>Nē</t>
        </is>
      </c>
      <c r="G284" s="2" t="n"/>
    </row>
    <row r="285">
      <c r="A285" s="2" t="inlineStr">
        <is>
          <t>UFGS_26_56_0-P0024-001</t>
        </is>
      </c>
      <c r="B285" s="2" t="inlineStr">
        <is>
          <t>UFGS_26_56_00.pdf</t>
        </is>
      </c>
      <c r="C285" s="2" t="n">
        <v>24</v>
      </c>
      <c r="D285" s="2" t="n">
        <v>1</v>
      </c>
      <c r="E285" s="2" t="inlineStr">
        <is>
          <t>that will be reduced at curfew in accordance with the lighting control strategies in the project plans.</t>
        </is>
      </c>
      <c r="F285" s="2" t="inlineStr">
        <is>
          <t>Nē</t>
        </is>
      </c>
      <c r="G285" s="2" t="n"/>
    </row>
    <row r="286">
      <c r="A286" s="2" t="inlineStr">
        <is>
          <t>UFGS_26_56_0-P0024-002</t>
        </is>
      </c>
      <c r="B286" s="2" t="inlineStr">
        <is>
          <t>UFGS_26_56_00.pdf</t>
        </is>
      </c>
      <c r="C286" s="2" t="n">
        <v>24</v>
      </c>
      <c r="D286" s="2" t="n">
        <v>2</v>
      </c>
      <c r="E286" s="2" t="inlineStr">
        <is>
          <t>NEMA SSL 1, UL 1310.</t>
        </is>
      </c>
      <c r="F286" s="2" t="inlineStr">
        <is>
          <t>Nē</t>
        </is>
      </c>
      <c r="G286" s="2" t="n"/>
    </row>
    <row r="287">
      <c r="A287" s="2" t="inlineStr">
        <is>
          <t>UFGS_26_56_0-P0024-003</t>
        </is>
      </c>
      <c r="B287" s="2" t="inlineStr">
        <is>
          <t>UFGS_26_56_00.pdf</t>
        </is>
      </c>
      <c r="C287" s="2" t="n">
        <v>24</v>
      </c>
      <c r="D287" s="2" t="n">
        <v>3</v>
      </c>
      <c r="E287" s="2" t="inlineStr">
        <is>
          <t>Provide LED Drivers that are electronic, UL Class 1 or Class 2, constant-current type and meet the following requirements:</t>
        </is>
      </c>
      <c r="F287" s="2" t="inlineStr">
        <is>
          <t>Nē</t>
        </is>
      </c>
      <c r="G287" s="2" t="n"/>
    </row>
    <row r="288">
      <c r="A288" s="2" t="inlineStr">
        <is>
          <t>UFGS_26_56_0-P0024-004</t>
        </is>
      </c>
      <c r="B288" s="2" t="inlineStr">
        <is>
          <t>UFGS_26_56_00.pdf</t>
        </is>
      </c>
      <c r="C288" s="2" t="n">
        <v>24</v>
      </c>
      <c r="D288" s="2" t="n">
        <v>4</v>
      </c>
      <c r="E288" s="2" t="inlineStr">
        <is>
          <t>a. The combined LED driver and LED light source system is greater than or equal to the minimum luminaire efficacy values as listed in the luminaire schedule provided.</t>
        </is>
      </c>
      <c r="F288" s="2" t="inlineStr">
        <is>
          <t>Nē</t>
        </is>
      </c>
      <c r="G288" s="2" t="n"/>
    </row>
    <row r="289">
      <c r="A289" s="2" t="inlineStr">
        <is>
          <t>UFGS_26_56_0-P0024-005</t>
        </is>
      </c>
      <c r="B289" s="2" t="inlineStr">
        <is>
          <t>UFGS_26_56_00.pdf</t>
        </is>
      </c>
      <c r="C289" s="2" t="n">
        <v>24</v>
      </c>
      <c r="D289" s="2" t="n">
        <v>5</v>
      </c>
      <c r="E289" s="2" t="inlineStr">
        <is>
          <t>b. Operate at a voltage of [120-277][120][277] volts at 50/60 hertz, with input voltage fluctuations of plus or minus 10 percent.</t>
        </is>
      </c>
      <c r="F289" s="2" t="inlineStr">
        <is>
          <t>Nē</t>
        </is>
      </c>
      <c r="G289" s="2" t="n"/>
    </row>
    <row r="290">
      <c r="A290" s="2" t="inlineStr">
        <is>
          <t>UFGS_26_56_0-P0024-006</t>
        </is>
      </c>
      <c r="B290" s="2" t="inlineStr">
        <is>
          <t>UFGS_26_56_00.pdf</t>
        </is>
      </c>
      <c r="C290" s="2" t="n">
        <v>24</v>
      </c>
      <c r="D290" s="2" t="n">
        <v>6</v>
      </c>
      <c r="E290" s="2" t="inlineStr">
        <is>
          <t>c. Power Factor (PF) greater than or equal to 0.90 at full input power and across specified dimming range.</t>
        </is>
      </c>
      <c r="F290" s="2" t="inlineStr">
        <is>
          <t>Nē</t>
        </is>
      </c>
      <c r="G290" s="2" t="n"/>
    </row>
    <row r="291">
      <c r="A291" s="2" t="inlineStr">
        <is>
          <t>UFGS_26_56_0-P0024-007</t>
        </is>
      </c>
      <c r="B291" s="2" t="inlineStr">
        <is>
          <t>UFGS_26_56_00.pdf</t>
        </is>
      </c>
      <c r="C291" s="2" t="n">
        <v>24</v>
      </c>
      <c r="D291" s="2" t="n">
        <v>7</v>
      </c>
      <c r="E291" s="2" t="inlineStr">
        <is>
          <t>d. Maximum Total Harmonic Distortion (THD) less than or equal to 20 percent at full input power and across specified dimming range.</t>
        </is>
      </c>
      <c r="F291" s="2" t="inlineStr">
        <is>
          <t>Nē</t>
        </is>
      </c>
      <c r="G291" s="2" t="n"/>
    </row>
    <row r="292">
      <c r="A292" s="2" t="inlineStr">
        <is>
          <t>UFGS_26_56_0-P0024-008</t>
        </is>
      </c>
      <c r="B292" s="2" t="inlineStr">
        <is>
          <t>UFGS_26_56_00.pdf</t>
        </is>
      </c>
      <c r="C292" s="2" t="n">
        <v>24</v>
      </c>
      <c r="D292" s="2" t="n">
        <v>8</v>
      </c>
      <c r="E292" s="2" t="inlineStr">
        <is>
          <t>e. Operates for at least 50,000 hours at maximum case temperature and 90 percent non-condensing relative humidity.</t>
        </is>
      </c>
      <c r="F292" s="2" t="inlineStr">
        <is>
          <t>Nē</t>
        </is>
      </c>
      <c r="G292" s="2" t="n"/>
    </row>
    <row r="293">
      <c r="A293" s="2" t="inlineStr">
        <is>
          <t>UFGS_26_56_0-P0024-009</t>
        </is>
      </c>
      <c r="B293" s="2" t="inlineStr">
        <is>
          <t>UFGS_26_56_00.pdf</t>
        </is>
      </c>
      <c r="C293" s="2" t="n">
        <v>24</v>
      </c>
      <c r="D293" s="2" t="n">
        <v>9</v>
      </c>
      <c r="E293" s="2" t="inlineStr">
        <is>
          <t>f. Meets the "Elevated" (10kV/10kA) requirements per IEEE C62.41.2 -2002.</t>
        </is>
      </c>
      <c r="F293" s="2" t="inlineStr">
        <is>
          <t>Nē</t>
        </is>
      </c>
      <c r="G293" s="2" t="n"/>
    </row>
    <row r="294">
      <c r="A294" s="2" t="inlineStr">
        <is>
          <t>UFGS_26_56_0-P0024-010</t>
        </is>
      </c>
      <c r="B294" s="2" t="inlineStr">
        <is>
          <t>UFGS_26_56_00.pdf</t>
        </is>
      </c>
      <c r="C294" s="2" t="n">
        <v>24</v>
      </c>
      <c r="D294" s="2" t="n">
        <v>10</v>
      </c>
      <c r="E294" s="2" t="inlineStr">
        <is>
          <t>Manufacturer must indicate whether failure of the electrical immunity system can possibly result in disconnect of power to luminaire.</t>
        </is>
      </c>
      <c r="F294" s="2" t="inlineStr">
        <is>
          <t>Nē</t>
        </is>
      </c>
      <c r="G294" s="2" t="n"/>
    </row>
    <row r="295">
      <c r="A295" s="2" t="inlineStr">
        <is>
          <t>UFGS_26_56_0-P0024-011</t>
        </is>
      </c>
      <c r="B295" s="2" t="inlineStr">
        <is>
          <t>UFGS_26_56_00.pdf</t>
        </is>
      </c>
      <c r="C295" s="2" t="n">
        <v>24</v>
      </c>
      <c r="D295" s="2" t="n">
        <v>11</v>
      </c>
      <c r="E295" s="2" t="inlineStr">
        <is>
          <t>Provide surge protection that is integral to the LED driver.</t>
        </is>
      </c>
      <c r="F295" s="2" t="inlineStr">
        <is>
          <t>Nē</t>
        </is>
      </c>
      <c r="G295" s="2" t="n"/>
    </row>
    <row r="296">
      <c r="A296" s="2" t="inlineStr">
        <is>
          <t>UFGS_26_56_0-P0024-012</t>
        </is>
      </c>
      <c r="B296" s="2" t="inlineStr">
        <is>
          <t>UFGS_26_56_00.pdf</t>
        </is>
      </c>
      <c r="C296" s="2" t="n">
        <v>24</v>
      </c>
      <c r="D296" s="2" t="n">
        <v>12</v>
      </c>
      <c r="E296" s="2" t="inlineStr">
        <is>
          <t>g. Contains integral thermal protection that reduces the output power to protect the driver and light source from damage if the case temperature approaches or exceeds the driver's maximum operating temperature.</t>
        </is>
      </c>
      <c r="F296" s="2" t="inlineStr">
        <is>
          <t>Nē</t>
        </is>
      </c>
      <c r="G296" s="2" t="n"/>
    </row>
    <row r="297">
      <c r="A297" s="2" t="inlineStr">
        <is>
          <t>UFGS_26_56_0-P0024-013</t>
        </is>
      </c>
      <c r="B297" s="2" t="inlineStr">
        <is>
          <t>UFGS_26_56_00.pdf</t>
        </is>
      </c>
      <c r="C297" s="2" t="n">
        <v>24</v>
      </c>
      <c r="D297" s="2" t="n">
        <v>13</v>
      </c>
      <c r="E297" s="2" t="inlineStr">
        <is>
          <t>h. Complies with the requirements of the Federal Communications Commission (FCC) rules and regulations, Title 47 CFR part 15, Non-Consumer (Class A) for EMI/RFI (conducted and radiated).</t>
        </is>
      </c>
      <c r="F297" s="2" t="inlineStr">
        <is>
          <t>Nē</t>
        </is>
      </c>
      <c r="G297" s="2" t="n"/>
    </row>
    <row r="298">
      <c r="A298" s="2" t="inlineStr">
        <is>
          <t>UFGS_26_56_0-P0024-014</t>
        </is>
      </c>
      <c r="B298" s="2" t="inlineStr">
        <is>
          <t>UFGS_26_56_00.pdf</t>
        </is>
      </c>
      <c r="C298" s="2" t="n">
        <v>24</v>
      </c>
      <c r="D298" s="2" t="n">
        <v>14</v>
      </c>
      <c r="E298" s="2" t="inlineStr">
        <is>
          <t>i. Class A sound rating for all drivers mounted under a covered structure, such as a canopy, or where otherwise appropriate.</t>
        </is>
      </c>
      <c r="F298" s="2" t="inlineStr">
        <is>
          <t>Nē</t>
        </is>
      </c>
      <c r="G298" s="2" t="n"/>
    </row>
    <row r="299">
      <c r="A299" s="2" t="inlineStr">
        <is>
          <t>UFGS_26_56_0-P0024-015</t>
        </is>
      </c>
      <c r="B299" s="2" t="inlineStr">
        <is>
          <t>UFGS_26_56_00.pdf</t>
        </is>
      </c>
      <c r="C299" s="2" t="n">
        <v>24</v>
      </c>
      <c r="D299" s="2" t="n">
        <v>15</v>
      </c>
      <c r="E299" s="2" t="inlineStr">
        <is>
          <t>j. Directive 2011/65/EU.</t>
        </is>
      </c>
      <c r="F299" s="2" t="inlineStr">
        <is>
          <t>Nē</t>
        </is>
      </c>
      <c r="G299" s="2" t="n"/>
    </row>
    <row r="300">
      <c r="A300" s="2" t="inlineStr">
        <is>
          <t>UFGS_26_56_0-P0024-016</t>
        </is>
      </c>
      <c r="B300" s="2" t="inlineStr">
        <is>
          <t>UFGS_26_56_00.pdf</t>
        </is>
      </c>
      <c r="C300" s="2" t="n">
        <v>24</v>
      </c>
      <c r="D300" s="2" t="n">
        <v>16</v>
      </c>
      <c r="E300" s="2" t="inlineStr">
        <is>
          <t>Restriction of Hazardous Substances (RoHS) compliant.</t>
        </is>
      </c>
      <c r="F300" s="2" t="inlineStr">
        <is>
          <t>Nē</t>
        </is>
      </c>
      <c r="G300" s="2" t="n"/>
    </row>
    <row r="301">
      <c r="A301" s="2" t="inlineStr">
        <is>
          <t>UFGS_26_56_0-P0024-017</t>
        </is>
      </c>
      <c r="B301" s="2" t="inlineStr">
        <is>
          <t>UFGS_26_56_00.pdf</t>
        </is>
      </c>
      <c r="C301" s="2" t="n">
        <v>24</v>
      </c>
      <c r="D301" s="2" t="n">
        <v>17</v>
      </c>
      <c r="E301" s="2" t="inlineStr">
        <is>
          <t>k. UL listed for wet locations typical of exterior installations.</t>
        </is>
      </c>
      <c r="F301" s="2" t="inlineStr">
        <is>
          <t>Nē</t>
        </is>
      </c>
      <c r="G301" s="2" t="n"/>
    </row>
    <row r="302">
      <c r="A302" s="2" t="inlineStr">
        <is>
          <t>UFGS_26_56_0-P0024-018</t>
        </is>
      </c>
      <c r="B302" s="2" t="inlineStr">
        <is>
          <t>UFGS_26_56_00.pdf</t>
        </is>
      </c>
      <c r="C302" s="2" t="n">
        <v>24</v>
      </c>
      <c r="D302" s="2" t="n">
        <v>18</v>
      </c>
      <c r="E302" s="2" t="inlineStr">
        <is>
          <t>l. [Dimmable, and compatible with a standard dimming control circuit of 0</t>
        </is>
      </c>
      <c r="F302" s="2" t="inlineStr">
        <is>
          <t>Nē</t>
        </is>
      </c>
      <c r="G302" s="2" t="n"/>
    </row>
    <row r="303">
      <c r="A303" s="2" t="inlineStr">
        <is>
          <t>UFGS_26_56_0-P0024-019</t>
        </is>
      </c>
      <c r="B303" s="2" t="inlineStr">
        <is>
          <t>UFGS_26_56_00.pdf</t>
        </is>
      </c>
      <c r="C303" s="2" t="n">
        <v>24</v>
      </c>
      <c r="D303" s="2" t="n">
        <v>19</v>
      </c>
      <c r="E303" s="2" t="inlineStr">
        <is>
          <t>- 10V][Non-dimmable].</t>
        </is>
      </c>
      <c r="F303" s="2" t="inlineStr">
        <is>
          <t>Nē</t>
        </is>
      </c>
      <c r="G303" s="2" t="n"/>
    </row>
    <row r="304">
      <c r="A304" s="2" t="inlineStr">
        <is>
          <t>UFGS_26_56_0-P0024-020</t>
        </is>
      </c>
      <c r="B304" s="2" t="inlineStr">
        <is>
          <t>UFGS_26_56_00.pdf</t>
        </is>
      </c>
      <c r="C304" s="2" t="n">
        <v>24</v>
      </c>
      <c r="D304" s="2" t="n">
        <v>20</v>
      </c>
      <c r="E304" s="2" t="inlineStr">
        <is>
          <t>m. Rated to operate between ambient temperatures of minus 30 degrees C minus 22 degrees F and 40 degrees C 104 degrees F[ 50 degrees C 122 degrees F].</t>
        </is>
      </c>
      <c r="F304" s="2" t="inlineStr">
        <is>
          <t>Nē</t>
        </is>
      </c>
      <c r="G304" s="2" t="n"/>
    </row>
    <row r="305">
      <c r="A305" s="2" t="inlineStr">
        <is>
          <t>UFGS_26_56_0-P0024-021</t>
        </is>
      </c>
      <c r="B305" s="2" t="inlineStr">
        <is>
          <t>UFGS_26_56_00.pdf</t>
        </is>
      </c>
      <c r="C305" s="2" t="n">
        <v>24</v>
      </c>
      <c r="D305" s="2" t="n">
        <v>21</v>
      </c>
      <c r="E305" s="2" t="inlineStr">
        <is>
          <t>2.4.1 Remote LED Drivers</t>
        </is>
      </c>
      <c r="F305" s="2" t="inlineStr">
        <is>
          <t>Nē</t>
        </is>
      </c>
      <c r="G305" s="2" t="n"/>
    </row>
    <row r="306">
      <c r="A306" s="2" t="inlineStr">
        <is>
          <t>UFGS_26_56_0-P0024-022</t>
        </is>
      </c>
      <c r="B306" s="2" t="inlineStr">
        <is>
          <t>UFGS_26_56_00.pdf</t>
        </is>
      </c>
      <c r="C306" s="2" t="n">
        <v>24</v>
      </c>
      <c r="D306" s="2" t="n">
        <v>22</v>
      </c>
      <c r="E306" s="2" t="inlineStr">
        <is>
          <t>NOTE: Do not allow use of remote drivers unless specifically noted on the lighting plate and luminaire schedule.</t>
        </is>
      </c>
      <c r="F306" s="2" t="inlineStr">
        <is>
          <t>Nē</t>
        </is>
      </c>
      <c r="G306" s="2" t="n"/>
    </row>
    <row r="307">
      <c r="A307" s="2" t="inlineStr">
        <is>
          <t>UFGS_26_56_0-P0024-023</t>
        </is>
      </c>
      <c r="B307" s="2" t="inlineStr">
        <is>
          <t>UFGS_26_56_00.pdf</t>
        </is>
      </c>
      <c r="C307" s="2" t="n">
        <v>24</v>
      </c>
      <c r="D307" s="2" t="n">
        <v>23</v>
      </c>
      <c r="E307" s="2" t="inlineStr">
        <is>
          <t>SECTION 26 56 00 Page 24</t>
        </is>
      </c>
      <c r="F307" s="2" t="inlineStr">
        <is>
          <t>Nē</t>
        </is>
      </c>
      <c r="G307" s="2" t="n"/>
    </row>
    <row r="308">
      <c r="A308" s="2" t="inlineStr">
        <is>
          <t>UFGS_26_56_0-P0029-001</t>
        </is>
      </c>
      <c r="B308" s="2" t="inlineStr">
        <is>
          <t>UFGS_26_56_00.pdf</t>
        </is>
      </c>
      <c r="C308" s="2" t="n">
        <v>29</v>
      </c>
      <c r="D308" s="2" t="n">
        <v>1</v>
      </c>
      <c r="E308" s="2" t="inlineStr">
        <is>
          <t>from creating a turnoff condition. ] g.</t>
        </is>
      </c>
      <c r="F308" s="2" t="inlineStr">
        <is>
          <t>Nē</t>
        </is>
      </c>
      <c r="G308" s="2" t="n"/>
    </row>
    <row r="309">
      <c r="A309" s="2" t="inlineStr">
        <is>
          <t>UFGS_26_56_0-P0029-002</t>
        </is>
      </c>
      <c r="B309" s="2" t="inlineStr">
        <is>
          <t>UFGS_26_56_00.pdf</t>
        </is>
      </c>
      <c r="C309" s="2" t="n">
        <v>29</v>
      </c>
      <c r="D309" s="2" t="n">
        <v>2</v>
      </c>
      <c r="E309" s="2" t="inlineStr">
        <is>
          <t>Designed for 20-year service to match life expectancy of long-life LED fixtures and exceed 15,000 operations at full load.</t>
        </is>
      </c>
      <c r="F309" s="2" t="inlineStr">
        <is>
          <t>Nē</t>
        </is>
      </c>
      <c r="G309" s="2" t="n"/>
    </row>
    <row r="310">
      <c r="A310" s="2" t="inlineStr">
        <is>
          <t>UFGS_26_56_0-P0029-003</t>
        </is>
      </c>
      <c r="B310" s="2" t="inlineStr">
        <is>
          <t>UFGS_26_56_00.pdf</t>
        </is>
      </c>
      <c r="C310" s="2" t="n">
        <v>29</v>
      </c>
      <c r="D310" s="2" t="n">
        <v>3</v>
      </c>
      <c r="E310" s="2" t="inlineStr">
        <is>
          <t>Provide photosensors with zero-cross technology to withstand severe in-rush current and extend relay life. [ h.</t>
        </is>
      </c>
      <c r="F310" s="2" t="inlineStr">
        <is>
          <t>Nē</t>
        </is>
      </c>
      <c r="G310" s="2" t="n"/>
    </row>
    <row r="311">
      <c r="A311" s="2" t="inlineStr">
        <is>
          <t>UFGS_26_56_0-P0029-004</t>
        </is>
      </c>
      <c r="B311" s="2" t="inlineStr">
        <is>
          <t>UFGS_26_56_00.pdf</t>
        </is>
      </c>
      <c r="C311" s="2" t="n">
        <v>29</v>
      </c>
      <c r="D311" s="2" t="n">
        <v>4</v>
      </c>
      <c r="E311" s="2" t="inlineStr">
        <is>
          <t>[Fixed][Swivel] base type housing with 12.7 mm 1/2 in threaded base for mounting to a junction box or conduit. ][i.</t>
        </is>
      </c>
      <c r="F311" s="2" t="inlineStr">
        <is>
          <t>Nē</t>
        </is>
      </c>
      <c r="G311" s="2" t="n"/>
    </row>
    <row r="312">
      <c r="A312" s="2" t="inlineStr">
        <is>
          <t>UFGS_26_56_0-P0029-005</t>
        </is>
      </c>
      <c r="B312" s="2" t="inlineStr">
        <is>
          <t>UFGS_26_56_00.pdf</t>
        </is>
      </c>
      <c r="C312" s="2" t="n">
        <v>29</v>
      </c>
      <c r="D312" s="2" t="n">
        <v>5</v>
      </c>
      <c r="E312" s="2" t="inlineStr">
        <is>
          <t>NEMA C136.10.</t>
        </is>
      </c>
      <c r="F312" s="2" t="inlineStr">
        <is>
          <t>Nē</t>
        </is>
      </c>
      <c r="G312" s="2" t="n"/>
    </row>
    <row r="313">
      <c r="A313" s="2" t="inlineStr">
        <is>
          <t>UFGS_26_56_0-P0029-006</t>
        </is>
      </c>
      <c r="B313" s="2" t="inlineStr">
        <is>
          <t>UFGS_26_56_00.pdf</t>
        </is>
      </c>
      <c r="C313" s="2" t="n">
        <v>29</v>
      </c>
      <c r="D313" s="2" t="n">
        <v>6</v>
      </c>
      <c r="E313" s="2" t="inlineStr">
        <is>
          <t>Twist-lock receptacle type.</t>
        </is>
      </c>
      <c r="F313" s="2" t="inlineStr">
        <is>
          <t>Nē</t>
        </is>
      </c>
      <c r="G313" s="2" t="n"/>
    </row>
    <row r="314">
      <c r="A314" s="2" t="inlineStr">
        <is>
          <t>UFGS_26_56_0-P0029-007</t>
        </is>
      </c>
      <c r="B314" s="2" t="inlineStr">
        <is>
          <t>UFGS_26_56_00.pdf</t>
        </is>
      </c>
      <c r="C314" s="2" t="n">
        <v>29</v>
      </c>
      <c r="D314" s="2" t="n">
        <v>7</v>
      </c>
      <c r="E314" s="2" t="inlineStr">
        <is>
          <t>Provide with solid brass prongs and voltage markings and color coding on exterior of housing. ][j.</t>
        </is>
      </c>
      <c r="F314" s="2" t="inlineStr">
        <is>
          <t>Nē</t>
        </is>
      </c>
      <c r="G314" s="2" t="n"/>
    </row>
    <row r="315">
      <c r="A315" s="2" t="inlineStr">
        <is>
          <t>UFGS_26_56_0-P0029-008</t>
        </is>
      </c>
      <c r="B315" s="2" t="inlineStr">
        <is>
          <t>UFGS_26_56_00.pdf</t>
        </is>
      </c>
      <c r="C315" s="2" t="n">
        <v>29</v>
      </c>
      <c r="D315" s="2" t="n">
        <v>8</v>
      </c>
      <c r="E315" s="2" t="inlineStr">
        <is>
          <t>Provide photosensors with metal oxide varistor (MOV) type surge protection.</t>
        </is>
      </c>
      <c r="F315" s="2" t="inlineStr">
        <is>
          <t>Nē</t>
        </is>
      </c>
      <c r="G315" s="2" t="n"/>
    </row>
    <row r="316">
      <c r="A316" s="2" t="inlineStr">
        <is>
          <t>UFGS_26_56_0-P0029-009</t>
        </is>
      </c>
      <c r="B316" s="2" t="inlineStr">
        <is>
          <t>UFGS_26_56_00.pdf</t>
        </is>
      </c>
      <c r="C316" s="2" t="n">
        <v>29</v>
      </c>
      <c r="D316" s="2" t="n">
        <v>9</v>
      </c>
      <c r="E316" s="2" t="inlineStr">
        <is>
          <t>]2.5.2.3 Motion Sensors</t>
        </is>
      </c>
      <c r="F316" s="2" t="inlineStr">
        <is>
          <t>Nē</t>
        </is>
      </c>
      <c r="G316" s="2" t="n"/>
    </row>
    <row r="317">
      <c r="A317" s="2" t="inlineStr">
        <is>
          <t>UFGS_26_56_0-P0029-010</t>
        </is>
      </c>
      <c r="B317" s="2" t="inlineStr">
        <is>
          <t>UFGS_26_56_00.pdf</t>
        </is>
      </c>
      <c r="C317" s="2" t="n">
        <v>29</v>
      </c>
      <c r="D317" s="2" t="n">
        <v>10</v>
      </c>
      <c r="E317" s="2" t="inlineStr">
        <is>
          <t>NOTE: Select requirement for motion sensors to work with bi-level controllers if required by the Sequence of Operations.</t>
        </is>
      </c>
      <c r="F317" s="2" t="inlineStr">
        <is>
          <t>Nē</t>
        </is>
      </c>
      <c r="G317" s="2" t="n"/>
    </row>
    <row r="318">
      <c r="A318" s="2" t="inlineStr">
        <is>
          <t>UFGS_26_56_0-P0029-011</t>
        </is>
      </c>
      <c r="B318" s="2" t="inlineStr">
        <is>
          <t>UFGS_26_56_00.pdf</t>
        </is>
      </c>
      <c r="C318" s="2" t="n">
        <v>29</v>
      </c>
      <c r="D318" s="2" t="n">
        <v>11</v>
      </c>
      <c r="E318" s="2" t="inlineStr">
        <is>
          <t>NEMA WD 7, UL 773A.</t>
        </is>
      </c>
      <c r="F318" s="2" t="inlineStr">
        <is>
          <t>Nē</t>
        </is>
      </c>
      <c r="G318" s="2" t="n"/>
    </row>
    <row r="319">
      <c r="A319" s="2" t="inlineStr">
        <is>
          <t>UFGS_26_56_0-P0029-012</t>
        </is>
      </c>
      <c r="B319" s="2" t="inlineStr">
        <is>
          <t>UFGS_26_56_00.pdf</t>
        </is>
      </c>
      <c r="C319" s="2" t="n">
        <v>29</v>
      </c>
      <c r="D319" s="2" t="n">
        <v>12</v>
      </c>
      <c r="E319" s="2" t="inlineStr">
        <is>
          <t>Provide sensors that meet the following requirements:</t>
        </is>
      </c>
      <c r="F319" s="2" t="inlineStr">
        <is>
          <t>Nē</t>
        </is>
      </c>
      <c r="G319" s="2" t="n"/>
    </row>
    <row r="320">
      <c r="A320" s="2" t="inlineStr">
        <is>
          <t>UFGS_26_56_0-P0029-013</t>
        </is>
      </c>
      <c r="B320" s="2" t="inlineStr">
        <is>
          <t>UFGS_26_56_00.pdf</t>
        </is>
      </c>
      <c r="C320" s="2" t="n">
        <v>29</v>
      </c>
      <c r="D320" s="2" t="n">
        <v>13</v>
      </c>
      <c r="E320" s="2" t="inlineStr">
        <is>
          <t>a. Operating voltage of [12-24][120-277][120][277] volts.</t>
        </is>
      </c>
      <c r="F320" s="2" t="inlineStr">
        <is>
          <t>Nē</t>
        </is>
      </c>
      <c r="G320" s="2" t="n"/>
    </row>
    <row r="321">
      <c r="A321" s="2" t="inlineStr">
        <is>
          <t>UFGS_26_56_0-P0029-014</t>
        </is>
      </c>
      <c r="B321" s="2" t="inlineStr">
        <is>
          <t>UFGS_26_56_00.pdf</t>
        </is>
      </c>
      <c r="C321" s="2" t="n">
        <v>29</v>
      </c>
      <c r="D321" s="2" t="n">
        <v>14</v>
      </c>
      <c r="E321" s="2" t="inlineStr">
        <is>
          <t>b. [Passive infrared][Microwave][Dual technology passive infrared/microwave] type sensors with [270][_____] degree coverage.</t>
        </is>
      </c>
      <c r="F321" s="2" t="inlineStr">
        <is>
          <t>Nē</t>
        </is>
      </c>
      <c r="G321" s="2" t="n"/>
    </row>
    <row r="322">
      <c r="A322" s="2" t="inlineStr">
        <is>
          <t>UFGS_26_56_0-P0029-015</t>
        </is>
      </c>
      <c r="B322" s="2" t="inlineStr">
        <is>
          <t>UFGS_26_56_00.pdf</t>
        </is>
      </c>
      <c r="C322" s="2" t="n">
        <v>29</v>
      </c>
      <c r="D322" s="2" t="n">
        <v>15</v>
      </c>
      <c r="E322" s="2" t="inlineStr">
        <is>
          <t>c. Time delay that can be adjusted from 15 seconds to 15 minutes.</t>
        </is>
      </c>
      <c r="F322" s="2" t="inlineStr">
        <is>
          <t>Nē</t>
        </is>
      </c>
      <c r="G322" s="2" t="n"/>
    </row>
    <row r="323">
      <c r="A323" s="2" t="inlineStr">
        <is>
          <t>UFGS_26_56_0-P0029-016</t>
        </is>
      </c>
      <c r="B323" s="2" t="inlineStr">
        <is>
          <t>UFGS_26_56_00.pdf</t>
        </is>
      </c>
      <c r="C323" s="2" t="n">
        <v>29</v>
      </c>
      <c r="D323" s="2" t="n">
        <v>16</v>
      </c>
      <c r="E323" s="2" t="inlineStr">
        <is>
          <t>d. Default state is "Fail to ON position."</t>
        </is>
      </c>
      <c r="F323" s="2" t="inlineStr">
        <is>
          <t>Nē</t>
        </is>
      </c>
      <c r="G323" s="2" t="n"/>
    </row>
    <row r="324">
      <c r="A324" s="2" t="inlineStr">
        <is>
          <t>UFGS_26_56_0-P0029-017</t>
        </is>
      </c>
      <c r="B324" s="2" t="inlineStr">
        <is>
          <t>UFGS_26_56_00.pdf</t>
        </is>
      </c>
      <c r="C324" s="2" t="n">
        <v>29</v>
      </c>
      <c r="D324" s="2" t="n">
        <v>17</v>
      </c>
      <c r="E324" s="2" t="inlineStr">
        <is>
          <t>e. Sensors installed integral to the luminaire must be provided by the luminaire manufacturer.</t>
        </is>
      </c>
      <c r="F324" s="2" t="inlineStr">
        <is>
          <t>Nē</t>
        </is>
      </c>
      <c r="G324" s="2" t="n"/>
    </row>
    <row r="325">
      <c r="A325" s="2" t="inlineStr">
        <is>
          <t>UFGS_26_56_0-P0029-018</t>
        </is>
      </c>
      <c r="B325" s="2" t="inlineStr">
        <is>
          <t>UFGS_26_56_00.pdf</t>
        </is>
      </c>
      <c r="C325" s="2" t="n">
        <v>29</v>
      </c>
      <c r="D325" s="2" t="n">
        <v>18</v>
      </c>
      <c r="E325" s="2" t="inlineStr">
        <is>
          <t>f. Sensor contains an integral light level sensor that does not allow luminaires to operate during daylight hours</t>
        </is>
      </c>
      <c r="F325" s="2" t="inlineStr">
        <is>
          <t>Nē</t>
        </is>
      </c>
      <c r="G325" s="2" t="n"/>
    </row>
    <row r="326">
      <c r="A326" s="2" t="inlineStr">
        <is>
          <t>UFGS_26_56_0-P0029-019</t>
        </is>
      </c>
      <c r="B326" s="2" t="inlineStr">
        <is>
          <t>UFGS_26_56_00.pdf</t>
        </is>
      </c>
      <c r="C326" s="2" t="n">
        <v>29</v>
      </c>
      <c r="D326" s="2" t="n">
        <v>19</v>
      </c>
      <c r="E326" s="2" t="inlineStr">
        <is>
          <t>g. [Equipped with a threaded base for mounting to a weatherproof junction box][Mounted directly to luminaire]. [ h.</t>
        </is>
      </c>
      <c r="F326" s="2" t="inlineStr">
        <is>
          <t>Nē</t>
        </is>
      </c>
      <c r="G326" s="2" t="n"/>
    </row>
    <row r="327">
      <c r="A327" s="2" t="inlineStr">
        <is>
          <t>UFGS_26_56_0-P0029-020</t>
        </is>
      </c>
      <c r="B327" s="2" t="inlineStr">
        <is>
          <t>UFGS_26_56_00.pdf</t>
        </is>
      </c>
      <c r="C327" s="2" t="n">
        <v>29</v>
      </c>
      <c r="D327" s="2" t="n">
        <v>20</v>
      </c>
      <c r="E327" s="2" t="inlineStr">
        <is>
          <t>Operates in conjunction with bi-level controllers that reduce the connected lighting power by 50 percent.</t>
        </is>
      </c>
      <c r="F327" s="2" t="inlineStr">
        <is>
          <t>Nē</t>
        </is>
      </c>
      <c r="G327" s="2" t="n"/>
    </row>
    <row r="328">
      <c r="A328" s="2" t="inlineStr">
        <is>
          <t>UFGS_26_56_0-P0029-021</t>
        </is>
      </c>
      <c r="B328" s="2" t="inlineStr">
        <is>
          <t>UFGS_26_56_00.pdf</t>
        </is>
      </c>
      <c r="C328" s="2" t="n">
        <v>29</v>
      </c>
      <c r="D328" s="2" t="n">
        <v>21</v>
      </c>
      <c r="E328" s="2" t="inlineStr">
        <is>
          <t>]2.5.2.4 Lighting Contactor</t>
        </is>
      </c>
      <c r="F328" s="2" t="inlineStr">
        <is>
          <t>Nē</t>
        </is>
      </c>
      <c r="G328" s="2" t="n"/>
    </row>
    <row r="329">
      <c r="A329" s="2" t="inlineStr">
        <is>
          <t>UFGS_26_56_0-P0029-022</t>
        </is>
      </c>
      <c r="B329" s="2" t="inlineStr">
        <is>
          <t>UFGS_26_56_00.pdf</t>
        </is>
      </c>
      <c r="C329" s="2" t="n">
        <v>29</v>
      </c>
      <c r="D329" s="2" t="n">
        <v>22</v>
      </c>
      <c r="E329" s="2" t="inlineStr">
        <is>
          <t>NEMA ICS 2.</t>
        </is>
      </c>
      <c r="F329" s="2" t="inlineStr">
        <is>
          <t>Nē</t>
        </is>
      </c>
      <c r="G329" s="2" t="n"/>
    </row>
    <row r="330">
      <c r="A330" s="2" t="inlineStr">
        <is>
          <t>UFGS_26_56_0-P0029-023</t>
        </is>
      </c>
      <c r="B330" s="2" t="inlineStr">
        <is>
          <t>UFGS_26_56_00.pdf</t>
        </is>
      </c>
      <c r="C330" s="2" t="n">
        <v>29</v>
      </c>
      <c r="D330" s="2" t="n">
        <v>23</v>
      </c>
      <c r="E330" s="2" t="inlineStr">
        <is>
          <t>Provide a [mechanically][electrically]-held lighting contactor [housed in a NEMA [1][3R][4][_____] enclosure conforming to NEMA ICS 6].</t>
        </is>
      </c>
      <c r="F330" s="2" t="inlineStr">
        <is>
          <t>Nē</t>
        </is>
      </c>
      <c r="G330" s="2" t="n"/>
    </row>
    <row r="331">
      <c r="A331" s="2" t="inlineStr">
        <is>
          <t>UFGS_26_56_0-P0029-024</t>
        </is>
      </c>
      <c r="B331" s="2" t="inlineStr">
        <is>
          <t>UFGS_26_56_00.pdf</t>
        </is>
      </c>
      <c r="C331" s="2" t="n">
        <v>29</v>
      </c>
      <c r="D331" s="2" t="n">
        <v>24</v>
      </c>
      <c r="E331" s="2" t="inlineStr">
        <is>
          <t>Contactor must have [2][4][6][_____] poles, configured as [normally open (NO)][normally closed (NC)].</t>
        </is>
      </c>
      <c r="F331" s="2" t="inlineStr">
        <is>
          <t>Nē</t>
        </is>
      </c>
      <c r="G331" s="2" t="n"/>
    </row>
    <row r="332">
      <c r="A332" s="2" t="inlineStr">
        <is>
          <t>UFGS_26_56_0-P0029-025</t>
        </is>
      </c>
      <c r="B332" s="2" t="inlineStr">
        <is>
          <t>UFGS_26_56_00.pdf</t>
        </is>
      </c>
      <c r="C332" s="2" t="n">
        <v>29</v>
      </c>
      <c r="D332" s="2" t="n">
        <v>25</v>
      </c>
      <c r="E332" s="2" t="inlineStr">
        <is>
          <t>Contacts must be rated [600] [_____] volts, [30][_____] amperes for a resistive load.</t>
        </is>
      </c>
      <c r="F332" s="2" t="inlineStr">
        <is>
          <t>Nē</t>
        </is>
      </c>
      <c r="G332" s="2" t="n"/>
    </row>
    <row r="333">
      <c r="A333" s="2" t="inlineStr">
        <is>
          <t>UFGS_26_56_0-P0029-026</t>
        </is>
      </c>
      <c r="B333" s="2" t="inlineStr">
        <is>
          <t>UFGS_26_56_00.pdf</t>
        </is>
      </c>
      <c r="C333" s="2" t="n">
        <v>29</v>
      </c>
      <c r="D333" s="2" t="n">
        <v>26</v>
      </c>
      <c r="E333" s="2" t="inlineStr">
        <is>
          <t>Coil operating voltage must be [24][120][277][_____] volts.</t>
        </is>
      </c>
      <c r="F333" s="2" t="inlineStr">
        <is>
          <t>Nē</t>
        </is>
      </c>
      <c r="G333" s="2" t="n"/>
    </row>
    <row r="334">
      <c r="A334" s="2" t="inlineStr">
        <is>
          <t>UFGS_26_56_0-P0029-027</t>
        </is>
      </c>
      <c r="B334" s="2" t="inlineStr">
        <is>
          <t>UFGS_26_56_00.pdf</t>
        </is>
      </c>
      <c r="C334" s="2" t="n">
        <v>29</v>
      </c>
      <c r="D334" s="2" t="n">
        <v>27</v>
      </c>
      <c r="E334" s="2" t="inlineStr">
        <is>
          <t>Contactor must have silver cadmium oxide double-break contacts [and coil clearing contacts for mechanically held contactors] and must require no arcing contacts.[ Provide contactor with hand-off-automatic [on-off] selector switch.][</t>
        </is>
      </c>
      <c r="F334" s="2" t="inlineStr">
        <is>
          <t>Nē</t>
        </is>
      </c>
      <c r="G334" s="2" t="n"/>
    </row>
    <row r="335">
      <c r="A335" s="2" t="inlineStr">
        <is>
          <t>UFGS_26_56_0-P0029-028</t>
        </is>
      </c>
      <c r="B335" s="2" t="inlineStr">
        <is>
          <t>UFGS_26_56_00.pdf</t>
        </is>
      </c>
      <c r="C335" s="2" t="n">
        <v>29</v>
      </c>
      <c r="D335" s="2" t="n">
        <v>28</v>
      </c>
      <c r="E335" s="2" t="inlineStr">
        <is>
          <t>SECTION 26 56 00 Page 29</t>
        </is>
      </c>
      <c r="F335" s="2" t="inlineStr">
        <is>
          <t>Nē</t>
        </is>
      </c>
      <c r="G335" s="2" t="n"/>
    </row>
  </sheetData>
  <autoFilter ref="A1:G335"/>
  <conditionalFormatting sqref="F2:F335">
    <cfRule type="expression" priority="1" dxfId="0">
      <formula>F2="Jā"</formula>
    </cfRule>
    <cfRule type="expression" priority="2" dxfId="1">
      <formula>F2="Nē"</formula>
    </cfRule>
    <cfRule type="expression" priority="3" dxfId="2">
      <formula>F2=""</formula>
    </cfRule>
  </conditionalFormatting>
  <dataValidations count="1">
    <dataValidation sqref="F2:F335" showDropDown="0" showInputMessage="0" showErrorMessage="0" allowBlank="1" errorTitle="SpecTakeoff" error="Izvēlies Jā, Nē vai ?" type="list">
      <formula1>"Jā,Nē,?"</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8" customWidth="1" min="2" max="2"/>
    <col width="10" customWidth="1" min="3" max="3"/>
    <col width="12" customWidth="1" min="4" max="4"/>
    <col width="10" customWidth="1" min="5" max="5"/>
  </cols>
  <sheetData>
    <row r="1">
      <c r="A1" s="4" t="inlineStr">
        <is>
          <t>Fails</t>
        </is>
      </c>
      <c r="B1" s="4" t="inlineStr">
        <is>
          <t>Lapa</t>
        </is>
      </c>
      <c r="C1" s="4" t="inlineStr">
        <is>
          <t>Rindas</t>
        </is>
      </c>
      <c r="D1" s="4" t="inlineStr">
        <is>
          <t>Atzīmētas</t>
        </is>
      </c>
      <c r="E1" s="4" t="inlineStr">
        <is>
          <t>Gatava?</t>
        </is>
      </c>
    </row>
    <row r="2">
      <c r="A2" t="inlineStr">
        <is>
          <t>UFGS_09_90_00.pdf</t>
        </is>
      </c>
      <c r="B2" t="n">
        <v>8</v>
      </c>
      <c r="C2">
        <f>COUNTIFS(Etalons!B:B,A2,Etalons!C:C,B2)</f>
        <v/>
      </c>
      <c r="D2">
        <f>COUNTIFS(Etalons!B:B,A2,Etalons!C:C,B2,Etalons!F:F,"&lt;&gt;")</f>
        <v/>
      </c>
      <c r="E2">
        <f>IF(D2=C2,"Jā","Nē")</f>
        <v/>
      </c>
    </row>
    <row r="3">
      <c r="A3" t="inlineStr">
        <is>
          <t>UFGS_09_90_00.pdf</t>
        </is>
      </c>
      <c r="B3" t="n">
        <v>17</v>
      </c>
      <c r="C3">
        <f>COUNTIFS(Etalons!B:B,A3,Etalons!C:C,B3)</f>
        <v/>
      </c>
      <c r="D3">
        <f>COUNTIFS(Etalons!B:B,A3,Etalons!C:C,B3,Etalons!F:F,"&lt;&gt;")</f>
        <v/>
      </c>
      <c r="E3">
        <f>IF(D3=C3,"Jā","Nē")</f>
        <v/>
      </c>
    </row>
    <row r="4">
      <c r="A4" t="inlineStr">
        <is>
          <t>UFGS_09_90_00.pdf</t>
        </is>
      </c>
      <c r="B4" t="n">
        <v>27</v>
      </c>
      <c r="C4">
        <f>COUNTIFS(Etalons!B:B,A4,Etalons!C:C,B4)</f>
        <v/>
      </c>
      <c r="D4">
        <f>COUNTIFS(Etalons!B:B,A4,Etalons!C:C,B4,Etalons!F:F,"&lt;&gt;")</f>
        <v/>
      </c>
      <c r="E4">
        <f>IF(D4=C4,"Jā","Nē")</f>
        <v/>
      </c>
    </row>
    <row r="5">
      <c r="A5" t="inlineStr">
        <is>
          <t>UFGS_09_90_00.pdf</t>
        </is>
      </c>
      <c r="B5" t="n">
        <v>58</v>
      </c>
      <c r="C5">
        <f>COUNTIFS(Etalons!B:B,A5,Etalons!C:C,B5)</f>
        <v/>
      </c>
      <c r="D5">
        <f>COUNTIFS(Etalons!B:B,A5,Etalons!C:C,B5,Etalons!F:F,"&lt;&gt;")</f>
        <v/>
      </c>
      <c r="E5">
        <f>IF(D5=C5,"Jā","Nē")</f>
        <v/>
      </c>
    </row>
    <row r="6">
      <c r="A6" t="inlineStr">
        <is>
          <t>UFGS_09_90_00.pdf</t>
        </is>
      </c>
      <c r="B6" t="n">
        <v>88</v>
      </c>
      <c r="C6">
        <f>COUNTIFS(Etalons!B:B,A6,Etalons!C:C,B6)</f>
        <v/>
      </c>
      <c r="D6">
        <f>COUNTIFS(Etalons!B:B,A6,Etalons!C:C,B6,Etalons!F:F,"&lt;&gt;")</f>
        <v/>
      </c>
      <c r="E6">
        <f>IF(D6=C6,"Jā","Nē")</f>
        <v/>
      </c>
    </row>
    <row r="7">
      <c r="A7" t="inlineStr">
        <is>
          <t>UFGS_26_51_00.pdf</t>
        </is>
      </c>
      <c r="B7" t="n">
        <v>1</v>
      </c>
      <c r="C7">
        <f>COUNTIFS(Etalons!B:B,A7,Etalons!C:C,B7)</f>
        <v/>
      </c>
      <c r="D7">
        <f>COUNTIFS(Etalons!B:B,A7,Etalons!C:C,B7,Etalons!F:F,"&lt;&gt;")</f>
        <v/>
      </c>
      <c r="E7">
        <f>IF(D7=C7,"Jā","Nē")</f>
        <v/>
      </c>
    </row>
    <row r="8">
      <c r="A8" t="inlineStr">
        <is>
          <t>UFGS_26_51_00.pdf</t>
        </is>
      </c>
      <c r="B8" t="n">
        <v>19</v>
      </c>
      <c r="C8">
        <f>COUNTIFS(Etalons!B:B,A8,Etalons!C:C,B8)</f>
        <v/>
      </c>
      <c r="D8">
        <f>COUNTIFS(Etalons!B:B,A8,Etalons!C:C,B8,Etalons!F:F,"&lt;&gt;")</f>
        <v/>
      </c>
      <c r="E8">
        <f>IF(D8=C8,"Jā","Nē")</f>
        <v/>
      </c>
    </row>
    <row r="9">
      <c r="A9" t="inlineStr">
        <is>
          <t>UFGS_26_51_00.pdf</t>
        </is>
      </c>
      <c r="B9" t="n">
        <v>22</v>
      </c>
      <c r="C9">
        <f>COUNTIFS(Etalons!B:B,A9,Etalons!C:C,B9)</f>
        <v/>
      </c>
      <c r="D9">
        <f>COUNTIFS(Etalons!B:B,A9,Etalons!C:C,B9,Etalons!F:F,"&lt;&gt;")</f>
        <v/>
      </c>
      <c r="E9">
        <f>IF(D9=C9,"Jā","Nē")</f>
        <v/>
      </c>
    </row>
    <row r="10">
      <c r="A10" t="inlineStr">
        <is>
          <t>UFGS_26_51_00.pdf</t>
        </is>
      </c>
      <c r="B10" t="n">
        <v>28</v>
      </c>
      <c r="C10">
        <f>COUNTIFS(Etalons!B:B,A10,Etalons!C:C,B10)</f>
        <v/>
      </c>
      <c r="D10">
        <f>COUNTIFS(Etalons!B:B,A10,Etalons!C:C,B10,Etalons!F:F,"&lt;&gt;")</f>
        <v/>
      </c>
      <c r="E10">
        <f>IF(D10=C10,"Jā","Nē")</f>
        <v/>
      </c>
    </row>
    <row r="11">
      <c r="A11" t="inlineStr">
        <is>
          <t>UFGS_26_51_00.pdf</t>
        </is>
      </c>
      <c r="B11" t="n">
        <v>31</v>
      </c>
      <c r="C11">
        <f>COUNTIFS(Etalons!B:B,A11,Etalons!C:C,B11)</f>
        <v/>
      </c>
      <c r="D11">
        <f>COUNTIFS(Etalons!B:B,A11,Etalons!C:C,B11,Etalons!F:F,"&lt;&gt;")</f>
        <v/>
      </c>
      <c r="E11">
        <f>IF(D11=C11,"Jā","Nē")</f>
        <v/>
      </c>
    </row>
    <row r="12">
      <c r="A12" t="inlineStr">
        <is>
          <t>UFGS_26_51_00.pdf</t>
        </is>
      </c>
      <c r="B12" t="n">
        <v>38</v>
      </c>
      <c r="C12">
        <f>COUNTIFS(Etalons!B:B,A12,Etalons!C:C,B12)</f>
        <v/>
      </c>
      <c r="D12">
        <f>COUNTIFS(Etalons!B:B,A12,Etalons!C:C,B12,Etalons!F:F,"&lt;&gt;")</f>
        <v/>
      </c>
      <c r="E12">
        <f>IF(D12=C12,"Jā","Nē")</f>
        <v/>
      </c>
    </row>
    <row r="13">
      <c r="A13" t="inlineStr">
        <is>
          <t>UFGS_26_56_00.pdf</t>
        </is>
      </c>
      <c r="B13" t="n">
        <v>12</v>
      </c>
      <c r="C13">
        <f>COUNTIFS(Etalons!B:B,A13,Etalons!C:C,B13)</f>
        <v/>
      </c>
      <c r="D13">
        <f>COUNTIFS(Etalons!B:B,A13,Etalons!C:C,B13,Etalons!F:F,"&lt;&gt;")</f>
        <v/>
      </c>
      <c r="E13">
        <f>IF(D13=C13,"Jā","Nē")</f>
        <v/>
      </c>
    </row>
    <row r="14">
      <c r="A14" t="inlineStr">
        <is>
          <t>UFGS_26_56_00.pdf</t>
        </is>
      </c>
      <c r="B14" t="n">
        <v>17</v>
      </c>
      <c r="C14">
        <f>COUNTIFS(Etalons!B:B,A14,Etalons!C:C,B14)</f>
        <v/>
      </c>
      <c r="D14">
        <f>COUNTIFS(Etalons!B:B,A14,Etalons!C:C,B14,Etalons!F:F,"&lt;&gt;")</f>
        <v/>
      </c>
      <c r="E14">
        <f>IF(D14=C14,"Jā","Nē")</f>
        <v/>
      </c>
    </row>
    <row r="15">
      <c r="A15" t="inlineStr">
        <is>
          <t>UFGS_26_56_00.pdf</t>
        </is>
      </c>
      <c r="B15" t="n">
        <v>24</v>
      </c>
      <c r="C15">
        <f>COUNTIFS(Etalons!B:B,A15,Etalons!C:C,B15)</f>
        <v/>
      </c>
      <c r="D15">
        <f>COUNTIFS(Etalons!B:B,A15,Etalons!C:C,B15,Etalons!F:F,"&lt;&gt;")</f>
        <v/>
      </c>
      <c r="E15">
        <f>IF(D15=C15,"Jā","Nē")</f>
        <v/>
      </c>
    </row>
    <row r="16">
      <c r="A16" t="inlineStr">
        <is>
          <t>UFGS_26_56_00.pdf</t>
        </is>
      </c>
      <c r="B16" t="n">
        <v>29</v>
      </c>
      <c r="C16">
        <f>COUNTIFS(Etalons!B:B,A16,Etalons!C:C,B16)</f>
        <v/>
      </c>
      <c r="D16">
        <f>COUNTIFS(Etalons!B:B,A16,Etalons!C:C,B16,Etalons!F:F,"&lt;&gt;")</f>
        <v/>
      </c>
      <c r="E16">
        <f>IF(D16=C16,"Jā","Nē")</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{"tool_version": "4.0.0", "seed": 20261016, "sample": 15, "pages_spec": "", "show_predictions": false, "sources": [{"name": "UFGS_08_11_13.pdf", "path": "/tmp/claude-0/-home-user-workflows-starter-template/02873300-0aa4-5b5a-a8bb-9cae7051367b/scratchpad/holdout2/UFGS_08_11_13.pdf", "sha256": "d3e2caffbc53a6e088a901406da795f5d536a627ffb8e48b4ea199a7a01f4da0"}, {"name": "UFGS_09_90_00.pdf", "path": "/tmp/claude-0/-home-user-workflows-starter-template/02873300-0aa4-5b5a-a8bb-9cae7051367b/scratchpad/holdout2/UFGS_09_90_00.pdf", "sha256": "35a9f2f6165959e9ff4994303e076ea7ed9b3f2553f45a730fea2037414bcedb"}, {"name": "UFGS_26_51_00.pdf", "path": "/tmp/claude-0/-home-user-workflows-starter-template/02873300-0aa4-5b5a-a8bb-9cae7051367b/scratchpad/holdout2/UFGS_26_51_00.pdf", "sha256": "da2ea31c7f967d8d9128ba28690c3e6779890fc699d30a39f96078289f67918d"}, {"name": "UFGS_26_56_00.pdf", "path": "/tmp/claude-0/-home-user-workflows-starter-template/02873300-0aa4-5b5a-a8bb-9cae7051367b/scratchpad/holdout2/UFGS_26_56_00.pdf", "sha256": "f00e6813337554b5c6b2f779cc354e5dc4ece677661201be19b95f34de317797"}], "pages": [{"source": "UFGS_09_90_00.pdf", "page": 8}, {"source": "UFGS_09_90_00.pdf", "page": 17}, {"source": "UFGS_09_90_00.pdf", "page": 27}, {"source": "UFGS_09_90_00.pdf", "page": 58}, {"source": "UFGS_09_90_00.pdf", "page": 88}, {"source": "UFGS_26_51_00.pdf", "page": 1}, {"source": "UFGS_26_51_00.pdf", "page": 19}, {"source": "UFGS_26_51_00.pdf", "page": 22}, {"source": "UFGS_26_51_00.pdf", "page": 28}, {"source": "UFGS_26_51_00.pdf", "page": 31}, {"source": "UFGS_26_51_00.pdf", "page": 38}, {"source": "UFGS_26_56_00.pdf", "page": 12}, {"source": "UFGS_26_56_00.pdf", "page": 17}, {"source": "UFGS_26_56_00.pdf", "page": 24}, {"source": "UFGS_26_56_00.pdf", "page":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2026-10-16T01:43:24Z</dcterms:created>
  <dcterms:modified xmlns:dcterms="http://purl.org/dc/terms/" xmlns:xsi="http://www.w3.org/2001/XMLSchema-instance" xsi:type="dcterms:W3CDTF">2026-10-16T01:43:57Z</dcterms:modified>
</cp:coreProperties>
</file>